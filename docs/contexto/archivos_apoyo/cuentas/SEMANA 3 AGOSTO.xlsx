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UENTAS\EXCEL CUENTAS\"/>
    </mc:Choice>
  </mc:AlternateContent>
  <bookViews>
    <workbookView xWindow="0" yWindow="0" windowWidth="28800" windowHeight="12210" activeTab="5"/>
  </bookViews>
  <sheets>
    <sheet name="LUNES" sheetId="1" r:id="rId1"/>
    <sheet name="MARTES" sheetId="2" r:id="rId2"/>
    <sheet name="MIÉRCOLES" sheetId="3" r:id="rId3"/>
    <sheet name="JUEVES" sheetId="4" r:id="rId4"/>
    <sheet name="VIERNES" sheetId="5" r:id="rId5"/>
    <sheet name="SÁBADO" sheetId="6" r:id="rId6"/>
  </sheets>
  <definedNames>
    <definedName name="_xlnm._FilterDatabase" localSheetId="3" hidden="1">JUEVES!$A$3:$H$16</definedName>
    <definedName name="_xlnm._FilterDatabase" localSheetId="0" hidden="1">LUNES!$A$3:$H$23</definedName>
    <definedName name="_xlnm._FilterDatabase" localSheetId="1" hidden="1">MARTES!$A$3:$H$14</definedName>
    <definedName name="_xlnm._FilterDatabase" localSheetId="2" hidden="1">MIÉRCOLES!$A$3:$H$18</definedName>
    <definedName name="_xlnm._FilterDatabase" localSheetId="5" hidden="1">SÁBADO!$A$3:$H$14</definedName>
    <definedName name="_xlnm._FilterDatabase" localSheetId="4" hidden="1">VIERNES!$A$3:$H$23</definedName>
  </definedNames>
  <calcPr calcId="162913"/>
</workbook>
</file>

<file path=xl/calcChain.xml><?xml version="1.0" encoding="utf-8"?>
<calcChain xmlns="http://schemas.openxmlformats.org/spreadsheetml/2006/main">
  <c r="H15" i="6" l="1"/>
  <c r="G15" i="6"/>
  <c r="F15" i="6"/>
  <c r="D15" i="6"/>
  <c r="C15" i="6"/>
  <c r="E14" i="6"/>
  <c r="E13" i="6"/>
  <c r="E12" i="6"/>
  <c r="E11" i="6"/>
  <c r="E10" i="6"/>
  <c r="E9" i="6"/>
  <c r="E8" i="6"/>
  <c r="E7" i="6"/>
  <c r="E6" i="6"/>
  <c r="E5" i="6"/>
  <c r="E4" i="6"/>
  <c r="H24" i="5"/>
  <c r="G24" i="5"/>
  <c r="F24" i="5"/>
  <c r="D24" i="5"/>
  <c r="C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H17" i="4"/>
  <c r="G17" i="4"/>
  <c r="F17" i="4"/>
  <c r="D17" i="4"/>
  <c r="C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H19" i="3"/>
  <c r="G19" i="3"/>
  <c r="F19" i="3"/>
  <c r="D19" i="3"/>
  <c r="C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H15" i="2"/>
  <c r="G15" i="2"/>
  <c r="F15" i="2"/>
  <c r="D15" i="2"/>
  <c r="C15" i="2"/>
  <c r="E14" i="2"/>
  <c r="E13" i="2"/>
  <c r="E12" i="2"/>
  <c r="E11" i="2"/>
  <c r="E10" i="2"/>
  <c r="E9" i="2"/>
  <c r="E8" i="2"/>
  <c r="E7" i="2"/>
  <c r="E6" i="2"/>
  <c r="E5" i="2"/>
  <c r="E4" i="2"/>
  <c r="H24" i="1"/>
  <c r="G24" i="1"/>
  <c r="F24" i="1"/>
  <c r="D24" i="1"/>
  <c r="C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24" i="5" l="1"/>
  <c r="E17" i="4"/>
  <c r="E19" i="3"/>
  <c r="E15" i="2"/>
  <c r="E15" i="6"/>
  <c r="E24" i="1"/>
</calcChain>
</file>

<file path=xl/sharedStrings.xml><?xml version="1.0" encoding="utf-8"?>
<sst xmlns="http://schemas.openxmlformats.org/spreadsheetml/2006/main" count="131" uniqueCount="83">
  <si>
    <t>LUNES</t>
  </si>
  <si>
    <t>TELÉFONO</t>
  </si>
  <si>
    <t>CLIENTE</t>
  </si>
  <si>
    <t>PRECIO</t>
  </si>
  <si>
    <t>A CUENTA</t>
  </si>
  <si>
    <t>SALDO</t>
  </si>
  <si>
    <t>YAPE</t>
  </si>
  <si>
    <t>EFECTIVO</t>
  </si>
  <si>
    <t>GASTOS</t>
  </si>
  <si>
    <t>TOTAL</t>
  </si>
  <si>
    <t>MARTES</t>
  </si>
  <si>
    <t>MIÉRCOLES</t>
  </si>
  <si>
    <t>JUEVES</t>
  </si>
  <si>
    <t>VIERNES</t>
  </si>
  <si>
    <t>SÁBADO</t>
  </si>
  <si>
    <t>913 252 446</t>
  </si>
  <si>
    <t>HEYDI BANNER</t>
  </si>
  <si>
    <t>AMANCIO</t>
  </si>
  <si>
    <t>VINIL DORADO 2M</t>
  </si>
  <si>
    <t>HORTUS BANNER + TUBOS</t>
  </si>
  <si>
    <t>LUCIA VINIL</t>
  </si>
  <si>
    <t>943 003 276</t>
  </si>
  <si>
    <t>RICARDO LUJAN BANNER</t>
  </si>
  <si>
    <t>LUCHO OTUZCO</t>
  </si>
  <si>
    <t>STICKERS + PRECORTE</t>
  </si>
  <si>
    <t>STICKERS 6 PLANCHAS VINIL</t>
  </si>
  <si>
    <t>+57 314 3569851</t>
  </si>
  <si>
    <t>949 607 374</t>
  </si>
  <si>
    <t>BANNER RAUL</t>
  </si>
  <si>
    <t>BANNER VENTA</t>
  </si>
  <si>
    <t>BANNER  LUCHO OTUZCO</t>
  </si>
  <si>
    <t>VINIL MACA</t>
  </si>
  <si>
    <t>BANNER CESAR VASQUEZ</t>
  </si>
  <si>
    <t xml:space="preserve">BANNER </t>
  </si>
  <si>
    <t>1 PLANCHA VINIL</t>
  </si>
  <si>
    <t>LETRERO ACRILICO</t>
  </si>
  <si>
    <t>1 M VINIL</t>
  </si>
  <si>
    <t>VINIL BRILLO</t>
  </si>
  <si>
    <t>BANNER SALINAS</t>
  </si>
  <si>
    <t>CELTEX</t>
  </si>
  <si>
    <t>VINIL DANCE</t>
  </si>
  <si>
    <t>973 096 349</t>
  </si>
  <si>
    <t>STICKERS</t>
  </si>
  <si>
    <t>CORTES ACRILICO</t>
  </si>
  <si>
    <t>ESTRELLA</t>
  </si>
  <si>
    <t>VINIL SALDO</t>
  </si>
  <si>
    <t>CESAR VASQUEZ  A CUENTA</t>
  </si>
  <si>
    <t xml:space="preserve">TOTAL EFECTIVO = 2933 </t>
  </si>
  <si>
    <t xml:space="preserve">ENTREGADO MARCELL ---  2933 </t>
  </si>
  <si>
    <t>CAJA  ---  2100</t>
  </si>
  <si>
    <t>BANNER LETRAS</t>
  </si>
  <si>
    <t>PLOTEO REFLECTICO</t>
  </si>
  <si>
    <t>VINIL NUTRI ACTIVATE</t>
  </si>
  <si>
    <t>BOLETAS</t>
  </si>
  <si>
    <t>TOCTO</t>
  </si>
  <si>
    <t>10 MARCELL</t>
  </si>
  <si>
    <t>CORTES ALSER GERMAN</t>
  </si>
  <si>
    <t>VINIL JHOVANA</t>
  </si>
  <si>
    <t>VINIL BRILLO JHOVANA</t>
  </si>
  <si>
    <t>BANNER SAN MARTIN</t>
  </si>
  <si>
    <t>WALDIR SALDO</t>
  </si>
  <si>
    <t>EFECTVIVO ENTREGADO= 483</t>
  </si>
  <si>
    <t>1M VINIL</t>
  </si>
  <si>
    <t>PLOTEO DORADO</t>
  </si>
  <si>
    <t>RONIER</t>
  </si>
  <si>
    <t>JAC PRINT</t>
  </si>
  <si>
    <t>2M VINIL BLANCO</t>
  </si>
  <si>
    <t>1M VINIL BLANCO</t>
  </si>
  <si>
    <t>CORTE ACRILICO</t>
  </si>
  <si>
    <t>ABRAN BANNER</t>
  </si>
  <si>
    <t>REFLECTIVO</t>
  </si>
  <si>
    <t>HORTUS JUAN</t>
  </si>
  <si>
    <t>NAPO</t>
  </si>
  <si>
    <t>RICARDO LUJAN</t>
  </si>
  <si>
    <t>REPSOL UV</t>
  </si>
  <si>
    <t>BANNER 2X1</t>
  </si>
  <si>
    <t>VINIL PAVONADO</t>
  </si>
  <si>
    <t>2.5 WILSON</t>
  </si>
  <si>
    <t>12 ANGEL</t>
  </si>
  <si>
    <t>RAUL</t>
  </si>
  <si>
    <t>VINIL</t>
  </si>
  <si>
    <t>CORTE LASER</t>
  </si>
  <si>
    <t>2.5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</si>
</sst>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rgb="FFFF0000"/>
      <name val="Calibri"/>
    </font>
    <font>
      <b/>
      <sz val="11"/>
      <color rgb="FFFF0000"/>
      <name val="Calibri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4" fontId="0" fillId="3" borderId="1" xfId="0" applyNumberFormat="1" applyFill="1" applyBorder="1" applyAlignment="1">
      <alignment vertical="center"/>
    </xf>
    <xf numFmtId="4" fontId="3" fillId="4" borderId="1" xfId="0" applyNumberFormat="1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showGridLines="0" zoomScale="112" zoomScaleNormal="112" workbookViewId="0">
      <pane ySplit="3" topLeftCell="A4" activePane="bottomLeft" state="frozen"/>
      <selection pane="bottomLeft" activeCell="G23" sqref="G23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8" ht="27.95" customHeight="1" x14ac:dyDescent="0.35">
      <c r="A1" s="1" t="s">
        <v>0</v>
      </c>
    </row>
    <row r="3" spans="1:8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0.100000000000001" customHeight="1" x14ac:dyDescent="0.25">
      <c r="A4" s="3" t="s">
        <v>15</v>
      </c>
      <c r="B4" s="3" t="s">
        <v>16</v>
      </c>
      <c r="C4" s="6">
        <v>25</v>
      </c>
      <c r="D4" s="6">
        <v>15</v>
      </c>
      <c r="E4" s="6">
        <f t="shared" ref="E4:E23" si="0">IF(C4="","",C4-D4)</f>
        <v>10</v>
      </c>
      <c r="F4" s="6">
        <v>15</v>
      </c>
      <c r="G4" s="4"/>
      <c r="H4" s="4"/>
    </row>
    <row r="5" spans="1:8" ht="20.100000000000001" customHeight="1" x14ac:dyDescent="0.25">
      <c r="A5" s="3"/>
      <c r="B5" s="3" t="s">
        <v>17</v>
      </c>
      <c r="C5" s="6"/>
      <c r="D5" s="6">
        <v>510</v>
      </c>
      <c r="E5" s="6" t="str">
        <f t="shared" si="0"/>
        <v/>
      </c>
      <c r="F5" s="6"/>
      <c r="G5" s="4">
        <v>510</v>
      </c>
      <c r="H5" s="4"/>
    </row>
    <row r="6" spans="1:8" ht="20.100000000000001" customHeight="1" x14ac:dyDescent="0.25">
      <c r="A6" s="3"/>
      <c r="B6" s="3" t="s">
        <v>18</v>
      </c>
      <c r="C6" s="6">
        <v>20</v>
      </c>
      <c r="D6" s="6">
        <v>20</v>
      </c>
      <c r="E6" s="6">
        <f t="shared" si="0"/>
        <v>0</v>
      </c>
      <c r="F6" s="6">
        <v>20</v>
      </c>
      <c r="G6" s="4"/>
      <c r="H6" s="4"/>
    </row>
    <row r="7" spans="1:8" ht="20.100000000000001" customHeight="1" x14ac:dyDescent="0.25">
      <c r="A7" s="3"/>
      <c r="B7" s="3" t="s">
        <v>19</v>
      </c>
      <c r="C7" s="6">
        <v>185</v>
      </c>
      <c r="D7" s="6">
        <v>50</v>
      </c>
      <c r="E7" s="6">
        <f t="shared" si="0"/>
        <v>135</v>
      </c>
      <c r="F7" s="6">
        <v>50</v>
      </c>
      <c r="G7" s="4"/>
      <c r="H7" s="4"/>
    </row>
    <row r="8" spans="1:8" ht="20.100000000000001" customHeight="1" x14ac:dyDescent="0.25">
      <c r="A8" s="3" t="s">
        <v>21</v>
      </c>
      <c r="B8" s="3" t="s">
        <v>20</v>
      </c>
      <c r="C8" s="6">
        <v>38</v>
      </c>
      <c r="D8" s="6">
        <v>38</v>
      </c>
      <c r="E8" s="6">
        <f t="shared" si="0"/>
        <v>0</v>
      </c>
      <c r="F8" s="6">
        <v>38</v>
      </c>
      <c r="G8" s="4"/>
      <c r="H8" s="4"/>
    </row>
    <row r="9" spans="1:8" ht="20.100000000000001" customHeight="1" x14ac:dyDescent="0.25">
      <c r="A9" s="3"/>
      <c r="B9" s="3" t="s">
        <v>22</v>
      </c>
      <c r="C9" s="6"/>
      <c r="D9" s="6">
        <v>250</v>
      </c>
      <c r="E9" s="6" t="str">
        <f t="shared" si="0"/>
        <v/>
      </c>
      <c r="F9" s="6">
        <v>250</v>
      </c>
      <c r="G9" s="4"/>
      <c r="H9" s="4"/>
    </row>
    <row r="10" spans="1:8" ht="20.100000000000001" customHeight="1" x14ac:dyDescent="0.25">
      <c r="A10" s="3"/>
      <c r="B10" s="3" t="s">
        <v>23</v>
      </c>
      <c r="C10" s="6"/>
      <c r="D10" s="6">
        <v>1350</v>
      </c>
      <c r="E10" s="6" t="str">
        <f t="shared" si="0"/>
        <v/>
      </c>
      <c r="F10" s="6"/>
      <c r="G10" s="4">
        <v>1350</v>
      </c>
      <c r="H10" s="4"/>
    </row>
    <row r="11" spans="1:8" ht="20.100000000000001" customHeight="1" x14ac:dyDescent="0.25">
      <c r="A11" s="3" t="s">
        <v>27</v>
      </c>
      <c r="B11" s="3" t="s">
        <v>24</v>
      </c>
      <c r="C11" s="6">
        <v>40</v>
      </c>
      <c r="D11" s="6">
        <v>40</v>
      </c>
      <c r="E11" s="6">
        <f t="shared" si="0"/>
        <v>0</v>
      </c>
      <c r="F11" s="6"/>
      <c r="G11" s="4">
        <v>40</v>
      </c>
      <c r="H11" s="4"/>
    </row>
    <row r="12" spans="1:8" ht="20.100000000000001" customHeight="1" x14ac:dyDescent="0.25">
      <c r="A12" s="3" t="s">
        <v>26</v>
      </c>
      <c r="B12" s="3" t="s">
        <v>25</v>
      </c>
      <c r="C12" s="6">
        <v>150</v>
      </c>
      <c r="D12" s="6">
        <v>150</v>
      </c>
      <c r="E12" s="6">
        <f t="shared" si="0"/>
        <v>0</v>
      </c>
      <c r="F12" s="6">
        <v>150</v>
      </c>
      <c r="G12" s="4"/>
      <c r="H12" s="4"/>
    </row>
    <row r="13" spans="1:8" ht="20.100000000000001" customHeight="1" x14ac:dyDescent="0.25">
      <c r="A13" s="3"/>
      <c r="B13" s="3"/>
      <c r="C13" s="6"/>
      <c r="D13" s="6"/>
      <c r="E13" s="6" t="str">
        <f t="shared" si="0"/>
        <v/>
      </c>
      <c r="F13" s="6"/>
      <c r="G13" s="4"/>
      <c r="H13" s="4"/>
    </row>
    <row r="14" spans="1:8" ht="20.100000000000001" customHeight="1" x14ac:dyDescent="0.25">
      <c r="A14" s="3"/>
      <c r="B14" s="3"/>
      <c r="C14" s="6"/>
      <c r="D14" s="6"/>
      <c r="E14" s="6" t="str">
        <f t="shared" si="0"/>
        <v/>
      </c>
      <c r="F14" s="6"/>
      <c r="G14" s="4"/>
      <c r="H14" s="4"/>
    </row>
    <row r="15" spans="1:8" ht="20.100000000000001" customHeight="1" x14ac:dyDescent="0.25">
      <c r="A15" s="3"/>
      <c r="B15" s="3"/>
      <c r="C15" s="6"/>
      <c r="D15" s="6"/>
      <c r="E15" s="6" t="str">
        <f t="shared" si="0"/>
        <v/>
      </c>
      <c r="F15" s="6"/>
      <c r="G15" s="4"/>
      <c r="H15" s="4"/>
    </row>
    <row r="16" spans="1:8" ht="20.100000000000001" customHeight="1" x14ac:dyDescent="0.25">
      <c r="A16" s="3"/>
      <c r="B16" s="3"/>
      <c r="C16" s="6"/>
      <c r="D16" s="6"/>
      <c r="E16" s="6" t="str">
        <f t="shared" si="0"/>
        <v/>
      </c>
      <c r="F16" s="6"/>
      <c r="G16" s="4"/>
      <c r="H16" s="4"/>
    </row>
    <row r="17" spans="1:8" ht="20.100000000000001" customHeight="1" x14ac:dyDescent="0.25">
      <c r="A17" s="3"/>
      <c r="B17" s="3"/>
      <c r="C17" s="6"/>
      <c r="D17" s="6"/>
      <c r="E17" s="6" t="str">
        <f t="shared" si="0"/>
        <v/>
      </c>
      <c r="F17" s="6"/>
      <c r="G17" s="4"/>
      <c r="H17" s="4"/>
    </row>
    <row r="18" spans="1:8" ht="20.100000000000001" customHeight="1" x14ac:dyDescent="0.25">
      <c r="A18" s="3"/>
      <c r="B18" s="3"/>
      <c r="C18" s="6"/>
      <c r="D18" s="6"/>
      <c r="E18" s="6" t="str">
        <f t="shared" si="0"/>
        <v/>
      </c>
      <c r="F18" s="6"/>
      <c r="G18" s="4"/>
      <c r="H18" s="4"/>
    </row>
    <row r="19" spans="1:8" ht="20.100000000000001" customHeight="1" x14ac:dyDescent="0.25">
      <c r="A19" s="3"/>
      <c r="B19" s="3"/>
      <c r="C19" s="6"/>
      <c r="D19" s="6"/>
      <c r="E19" s="6" t="str">
        <f t="shared" si="0"/>
        <v/>
      </c>
      <c r="F19" s="6"/>
      <c r="G19" s="4"/>
      <c r="H19" s="4"/>
    </row>
    <row r="20" spans="1:8" ht="20.100000000000001" customHeight="1" x14ac:dyDescent="0.25">
      <c r="A20" s="3"/>
      <c r="B20" s="3"/>
      <c r="C20" s="6"/>
      <c r="D20" s="6"/>
      <c r="E20" s="6" t="str">
        <f t="shared" si="0"/>
        <v/>
      </c>
      <c r="F20" s="6"/>
      <c r="G20" s="4"/>
      <c r="H20" s="4"/>
    </row>
    <row r="21" spans="1:8" ht="20.100000000000001" customHeight="1" x14ac:dyDescent="0.25">
      <c r="A21" s="3"/>
      <c r="B21" s="3"/>
      <c r="C21" s="6"/>
      <c r="D21" s="6"/>
      <c r="E21" s="6" t="str">
        <f t="shared" si="0"/>
        <v/>
      </c>
      <c r="F21" s="6"/>
      <c r="G21" s="4"/>
      <c r="H21" s="4"/>
    </row>
    <row r="22" spans="1:8" ht="20.100000000000001" customHeight="1" x14ac:dyDescent="0.25">
      <c r="A22" s="3"/>
      <c r="B22" s="3"/>
      <c r="C22" s="6"/>
      <c r="D22" s="6"/>
      <c r="E22" s="6" t="str">
        <f t="shared" si="0"/>
        <v/>
      </c>
      <c r="F22" s="6"/>
      <c r="G22" s="4"/>
      <c r="H22" s="4"/>
    </row>
    <row r="23" spans="1:8" ht="20.100000000000001" customHeight="1" x14ac:dyDescent="0.25">
      <c r="A23" s="3"/>
      <c r="B23" s="3"/>
      <c r="C23" s="6"/>
      <c r="D23" s="6"/>
      <c r="E23" s="6" t="str">
        <f t="shared" si="0"/>
        <v/>
      </c>
      <c r="F23" s="6"/>
      <c r="G23" s="4"/>
      <c r="H23" s="4"/>
    </row>
    <row r="24" spans="1:8" ht="24" customHeight="1" x14ac:dyDescent="0.25">
      <c r="A24" s="12" t="s">
        <v>9</v>
      </c>
      <c r="B24" s="12"/>
      <c r="C24" s="5">
        <f t="shared" ref="C24:H24" si="1">SUM(C4:C23)</f>
        <v>458</v>
      </c>
      <c r="D24" s="5">
        <f t="shared" si="1"/>
        <v>2423</v>
      </c>
      <c r="E24" s="5">
        <f t="shared" si="1"/>
        <v>145</v>
      </c>
      <c r="F24" s="5">
        <f t="shared" si="1"/>
        <v>523</v>
      </c>
      <c r="G24" s="5">
        <f t="shared" si="1"/>
        <v>1900</v>
      </c>
      <c r="H24" s="5">
        <f t="shared" si="1"/>
        <v>0</v>
      </c>
    </row>
  </sheetData>
  <mergeCells count="1">
    <mergeCell ref="A24:B24"/>
  </mergeCells>
  <pageMargins left="0.2" right="0.2" top="0.3" bottom="0.3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showGridLines="0" zoomScale="136" zoomScaleNormal="136" workbookViewId="0">
      <pane ySplit="3" topLeftCell="A4" activePane="bottomLeft" state="frozen"/>
      <selection pane="bottomLeft" activeCell="L12" sqref="L12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8" ht="27.95" customHeight="1" x14ac:dyDescent="0.35">
      <c r="A1" s="1" t="s">
        <v>10</v>
      </c>
    </row>
    <row r="3" spans="1:8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0.100000000000001" customHeight="1" x14ac:dyDescent="0.25">
      <c r="A4" s="3"/>
      <c r="B4" s="3" t="s">
        <v>28</v>
      </c>
      <c r="C4" s="6">
        <v>44</v>
      </c>
      <c r="D4" s="6">
        <v>44</v>
      </c>
      <c r="E4" s="6">
        <f t="shared" ref="E4:E14" si="0">IF(C4="","",C4-D4)</f>
        <v>0</v>
      </c>
      <c r="F4" s="6">
        <v>44</v>
      </c>
      <c r="G4" s="6"/>
      <c r="H4" s="4"/>
    </row>
    <row r="5" spans="1:8" ht="20.100000000000001" customHeight="1" x14ac:dyDescent="0.25">
      <c r="A5" s="3"/>
      <c r="B5" s="3" t="s">
        <v>33</v>
      </c>
      <c r="C5" s="6">
        <v>35</v>
      </c>
      <c r="D5" s="6">
        <v>35</v>
      </c>
      <c r="E5" s="6">
        <f t="shared" si="0"/>
        <v>0</v>
      </c>
      <c r="F5" s="6">
        <v>35</v>
      </c>
      <c r="G5" s="6"/>
      <c r="H5" s="4"/>
    </row>
    <row r="6" spans="1:8" ht="20.100000000000001" customHeight="1" x14ac:dyDescent="0.25">
      <c r="A6" s="3"/>
      <c r="B6" s="3" t="s">
        <v>29</v>
      </c>
      <c r="C6" s="6">
        <v>110</v>
      </c>
      <c r="D6" s="6">
        <v>110</v>
      </c>
      <c r="E6" s="6">
        <f t="shared" si="0"/>
        <v>0</v>
      </c>
      <c r="F6" s="6"/>
      <c r="G6" s="6">
        <v>110</v>
      </c>
      <c r="H6" s="4"/>
    </row>
    <row r="7" spans="1:8" ht="20.100000000000001" customHeight="1" x14ac:dyDescent="0.25">
      <c r="A7" s="3"/>
      <c r="B7" s="3" t="s">
        <v>30</v>
      </c>
      <c r="C7" s="6">
        <v>3960</v>
      </c>
      <c r="D7" s="6">
        <v>1000</v>
      </c>
      <c r="E7" s="6">
        <f t="shared" si="0"/>
        <v>2960</v>
      </c>
      <c r="F7" s="6">
        <v>1000</v>
      </c>
      <c r="G7" s="6"/>
      <c r="H7" s="4"/>
    </row>
    <row r="8" spans="1:8" ht="20.100000000000001" customHeight="1" x14ac:dyDescent="0.25">
      <c r="A8" s="3"/>
      <c r="B8" s="3" t="s">
        <v>31</v>
      </c>
      <c r="C8" s="6">
        <v>30</v>
      </c>
      <c r="D8" s="6">
        <v>30</v>
      </c>
      <c r="E8" s="6">
        <f t="shared" si="0"/>
        <v>0</v>
      </c>
      <c r="F8" s="6">
        <v>30</v>
      </c>
      <c r="G8" s="6"/>
      <c r="H8" s="4"/>
    </row>
    <row r="9" spans="1:8" ht="20.100000000000001" customHeight="1" x14ac:dyDescent="0.25">
      <c r="A9" s="3"/>
      <c r="B9" s="3" t="s">
        <v>32</v>
      </c>
      <c r="C9" s="6">
        <v>13400</v>
      </c>
      <c r="D9" s="6">
        <v>2600</v>
      </c>
      <c r="E9" s="6">
        <f t="shared" si="0"/>
        <v>10800</v>
      </c>
      <c r="F9" s="6"/>
      <c r="G9" s="6">
        <v>2600</v>
      </c>
      <c r="H9" s="4"/>
    </row>
    <row r="10" spans="1:8" ht="20.100000000000001" customHeight="1" x14ac:dyDescent="0.25">
      <c r="A10" s="3"/>
      <c r="B10" s="3"/>
      <c r="C10" s="6"/>
      <c r="D10" s="6"/>
      <c r="E10" s="6" t="str">
        <f t="shared" si="0"/>
        <v/>
      </c>
      <c r="F10" s="6"/>
      <c r="G10" s="6"/>
      <c r="H10" s="4"/>
    </row>
    <row r="11" spans="1:8" ht="20.100000000000001" customHeight="1" x14ac:dyDescent="0.25">
      <c r="A11" s="3"/>
      <c r="B11" s="3"/>
      <c r="C11" s="6"/>
      <c r="D11" s="6"/>
      <c r="E11" s="6" t="str">
        <f t="shared" si="0"/>
        <v/>
      </c>
      <c r="F11" s="6"/>
      <c r="G11" s="6"/>
      <c r="H11" s="4"/>
    </row>
    <row r="12" spans="1:8" ht="20.100000000000001" customHeight="1" x14ac:dyDescent="0.25">
      <c r="A12" s="3"/>
      <c r="B12" s="3"/>
      <c r="C12" s="6"/>
      <c r="D12" s="6"/>
      <c r="E12" s="6" t="str">
        <f t="shared" si="0"/>
        <v/>
      </c>
      <c r="F12" s="6"/>
      <c r="G12" s="6"/>
      <c r="H12" s="4"/>
    </row>
    <row r="13" spans="1:8" ht="20.100000000000001" customHeight="1" x14ac:dyDescent="0.25">
      <c r="A13" s="3"/>
      <c r="B13" s="3"/>
      <c r="C13" s="6"/>
      <c r="D13" s="6"/>
      <c r="E13" s="6" t="str">
        <f t="shared" si="0"/>
        <v/>
      </c>
      <c r="F13" s="6"/>
      <c r="G13" s="6"/>
      <c r="H13" s="4"/>
    </row>
    <row r="14" spans="1:8" ht="20.100000000000001" customHeight="1" x14ac:dyDescent="0.25">
      <c r="A14" s="3"/>
      <c r="B14" s="3"/>
      <c r="C14" s="6"/>
      <c r="D14" s="6"/>
      <c r="E14" s="6" t="str">
        <f t="shared" si="0"/>
        <v/>
      </c>
      <c r="F14" s="6"/>
      <c r="G14" s="6"/>
      <c r="H14" s="4"/>
    </row>
    <row r="15" spans="1:8" ht="20.100000000000001" customHeight="1" x14ac:dyDescent="0.25">
      <c r="A15" s="12" t="s">
        <v>9</v>
      </c>
      <c r="B15" s="12"/>
      <c r="C15" s="5">
        <f t="shared" ref="C15:H15" si="1">SUM(C4:C14)</f>
        <v>17579</v>
      </c>
      <c r="D15" s="5">
        <f t="shared" si="1"/>
        <v>3819</v>
      </c>
      <c r="E15" s="5">
        <f t="shared" si="1"/>
        <v>13760</v>
      </c>
      <c r="F15" s="5">
        <f t="shared" si="1"/>
        <v>1109</v>
      </c>
      <c r="G15" s="5">
        <f t="shared" si="1"/>
        <v>2710</v>
      </c>
      <c r="H15" s="5">
        <f t="shared" si="1"/>
        <v>0</v>
      </c>
    </row>
    <row r="16" spans="1:8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4" customHeight="1" x14ac:dyDescent="0.25"/>
  </sheetData>
  <mergeCells count="1">
    <mergeCell ref="A15:B15"/>
  </mergeCells>
  <pageMargins left="0.2" right="0.2" top="0.3" bottom="0.3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showGridLines="0" workbookViewId="0">
      <pane ySplit="3" topLeftCell="A4" activePane="bottomLeft" state="frozen"/>
      <selection pane="bottomLeft" activeCell="G16" sqref="G16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8" ht="27.95" customHeight="1" x14ac:dyDescent="0.35">
      <c r="A1" s="1" t="s">
        <v>11</v>
      </c>
    </row>
    <row r="3" spans="1:8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0.100000000000001" customHeight="1" x14ac:dyDescent="0.25">
      <c r="A4" s="3"/>
      <c r="B4" s="7" t="s">
        <v>34</v>
      </c>
      <c r="C4" s="6">
        <v>40</v>
      </c>
      <c r="D4" s="6">
        <v>40</v>
      </c>
      <c r="E4" s="6">
        <f t="shared" ref="E4:E18" si="0">IF(C4="","",C4-D4)</f>
        <v>0</v>
      </c>
      <c r="F4" s="6">
        <v>40</v>
      </c>
      <c r="G4" s="6"/>
      <c r="H4" s="4"/>
    </row>
    <row r="5" spans="1:8" ht="20.100000000000001" customHeight="1" x14ac:dyDescent="0.25">
      <c r="A5" s="3"/>
      <c r="B5" s="7" t="s">
        <v>35</v>
      </c>
      <c r="C5" s="6">
        <v>220</v>
      </c>
      <c r="D5" s="6">
        <v>100</v>
      </c>
      <c r="E5" s="6">
        <f t="shared" si="0"/>
        <v>120</v>
      </c>
      <c r="F5" s="6"/>
      <c r="G5" s="6">
        <v>100</v>
      </c>
      <c r="H5" s="4"/>
    </row>
    <row r="6" spans="1:8" ht="20.100000000000001" customHeight="1" x14ac:dyDescent="0.25">
      <c r="A6" s="3"/>
      <c r="B6" s="7" t="s">
        <v>36</v>
      </c>
      <c r="C6" s="6">
        <v>7</v>
      </c>
      <c r="D6" s="6">
        <v>7</v>
      </c>
      <c r="E6" s="6">
        <f t="shared" si="0"/>
        <v>0</v>
      </c>
      <c r="F6" s="6"/>
      <c r="G6" s="6">
        <v>7</v>
      </c>
      <c r="H6" s="4"/>
    </row>
    <row r="7" spans="1:8" ht="20.100000000000001" customHeight="1" x14ac:dyDescent="0.25">
      <c r="A7" s="3"/>
      <c r="B7" s="7" t="s">
        <v>37</v>
      </c>
      <c r="C7" s="6">
        <v>35</v>
      </c>
      <c r="D7" s="6">
        <v>15</v>
      </c>
      <c r="E7" s="6">
        <f t="shared" si="0"/>
        <v>20</v>
      </c>
      <c r="F7" s="6">
        <v>15</v>
      </c>
      <c r="G7" s="6"/>
      <c r="H7" s="4"/>
    </row>
    <row r="8" spans="1:8" ht="20.100000000000001" customHeight="1" x14ac:dyDescent="0.25">
      <c r="A8" s="3"/>
      <c r="B8" s="7" t="s">
        <v>38</v>
      </c>
      <c r="C8" s="6">
        <v>2000</v>
      </c>
      <c r="D8" s="6">
        <v>100</v>
      </c>
      <c r="E8" s="6">
        <f t="shared" si="0"/>
        <v>1900</v>
      </c>
      <c r="F8" s="6"/>
      <c r="G8" s="6">
        <v>100</v>
      </c>
      <c r="H8" s="4"/>
    </row>
    <row r="9" spans="1:8" ht="20.100000000000001" customHeight="1" x14ac:dyDescent="0.25">
      <c r="A9" s="3"/>
      <c r="B9" s="7" t="s">
        <v>39</v>
      </c>
      <c r="C9" s="6">
        <v>20</v>
      </c>
      <c r="D9" s="6">
        <v>20</v>
      </c>
      <c r="E9" s="6">
        <f t="shared" si="0"/>
        <v>0</v>
      </c>
      <c r="F9" s="6"/>
      <c r="G9" s="6">
        <v>20</v>
      </c>
      <c r="H9" s="4"/>
    </row>
    <row r="10" spans="1:8" ht="20.100000000000001" customHeight="1" x14ac:dyDescent="0.25">
      <c r="A10" s="3" t="s">
        <v>41</v>
      </c>
      <c r="B10" s="7" t="s">
        <v>40</v>
      </c>
      <c r="C10" s="6">
        <v>40</v>
      </c>
      <c r="D10" s="6">
        <v>40</v>
      </c>
      <c r="E10" s="6">
        <f t="shared" si="0"/>
        <v>0</v>
      </c>
      <c r="F10" s="6">
        <v>40</v>
      </c>
      <c r="G10" s="6"/>
      <c r="H10" s="4"/>
    </row>
    <row r="11" spans="1:8" ht="20.100000000000001" customHeight="1" x14ac:dyDescent="0.25">
      <c r="A11" s="3"/>
      <c r="B11" s="7" t="s">
        <v>42</v>
      </c>
      <c r="C11" s="6">
        <v>186</v>
      </c>
      <c r="D11" s="6">
        <v>186</v>
      </c>
      <c r="E11" s="6">
        <f t="shared" si="0"/>
        <v>0</v>
      </c>
      <c r="F11" s="6"/>
      <c r="G11" s="6">
        <v>186</v>
      </c>
      <c r="H11" s="4"/>
    </row>
    <row r="12" spans="1:8" ht="20.100000000000001" customHeight="1" x14ac:dyDescent="0.25">
      <c r="A12" s="3"/>
      <c r="B12" s="7" t="s">
        <v>35</v>
      </c>
      <c r="C12" s="6"/>
      <c r="D12" s="6">
        <v>300</v>
      </c>
      <c r="E12" s="6" t="str">
        <f t="shared" si="0"/>
        <v/>
      </c>
      <c r="F12" s="6"/>
      <c r="G12" s="6">
        <v>300</v>
      </c>
      <c r="H12" s="4"/>
    </row>
    <row r="13" spans="1:8" ht="20.100000000000001" customHeight="1" x14ac:dyDescent="0.25">
      <c r="A13" s="3"/>
      <c r="B13" s="7" t="s">
        <v>43</v>
      </c>
      <c r="C13" s="6"/>
      <c r="D13" s="6">
        <v>200</v>
      </c>
      <c r="E13" s="8" t="str">
        <f t="shared" si="0"/>
        <v/>
      </c>
      <c r="F13" s="6"/>
      <c r="G13" s="6">
        <v>200</v>
      </c>
      <c r="H13" s="4"/>
    </row>
    <row r="14" spans="1:8" ht="20.100000000000001" customHeight="1" x14ac:dyDescent="0.25">
      <c r="A14" s="3"/>
      <c r="B14" s="7" t="s">
        <v>44</v>
      </c>
      <c r="C14" s="6">
        <v>40</v>
      </c>
      <c r="D14" s="6">
        <v>40</v>
      </c>
      <c r="E14" s="6">
        <f t="shared" si="0"/>
        <v>0</v>
      </c>
      <c r="F14" s="6">
        <v>40</v>
      </c>
      <c r="G14" s="6"/>
      <c r="H14" s="4"/>
    </row>
    <row r="15" spans="1:8" ht="20.100000000000001" customHeight="1" x14ac:dyDescent="0.25">
      <c r="A15" s="3"/>
      <c r="B15" s="7" t="s">
        <v>45</v>
      </c>
      <c r="C15" s="6"/>
      <c r="D15" s="6">
        <v>20</v>
      </c>
      <c r="E15" s="6" t="str">
        <f t="shared" si="0"/>
        <v/>
      </c>
      <c r="F15" s="6"/>
      <c r="G15" s="6">
        <v>20</v>
      </c>
      <c r="H15" s="4"/>
    </row>
    <row r="16" spans="1:8" ht="20.100000000000001" customHeight="1" x14ac:dyDescent="0.25">
      <c r="A16" s="3"/>
      <c r="B16" s="7" t="s">
        <v>46</v>
      </c>
      <c r="C16" s="6"/>
      <c r="D16" s="6">
        <v>2000</v>
      </c>
      <c r="E16" s="6" t="str">
        <f t="shared" si="0"/>
        <v/>
      </c>
      <c r="F16" s="6"/>
      <c r="G16" s="6">
        <v>2000</v>
      </c>
      <c r="H16" s="4"/>
    </row>
    <row r="17" spans="1:8" ht="20.100000000000001" customHeight="1" x14ac:dyDescent="0.25">
      <c r="A17" s="3"/>
      <c r="B17" s="7" t="s">
        <v>50</v>
      </c>
      <c r="C17" s="6">
        <v>15</v>
      </c>
      <c r="D17" s="6">
        <v>7</v>
      </c>
      <c r="E17" s="6">
        <f t="shared" si="0"/>
        <v>8</v>
      </c>
      <c r="F17" s="6">
        <v>7</v>
      </c>
      <c r="G17" s="6"/>
      <c r="H17" s="4"/>
    </row>
    <row r="18" spans="1:8" ht="20.100000000000001" customHeight="1" x14ac:dyDescent="0.25">
      <c r="A18" s="3"/>
      <c r="B18" s="7"/>
      <c r="C18" s="6"/>
      <c r="D18" s="6"/>
      <c r="E18" s="6" t="str">
        <f t="shared" si="0"/>
        <v/>
      </c>
      <c r="F18" s="6"/>
      <c r="G18" s="6"/>
      <c r="H18" s="4"/>
    </row>
    <row r="19" spans="1:8" ht="24" customHeight="1" x14ac:dyDescent="0.25">
      <c r="A19" s="12" t="s">
        <v>9</v>
      </c>
      <c r="B19" s="12"/>
      <c r="C19" s="5">
        <f t="shared" ref="C19:H19" si="1">SUM(C4:C18)</f>
        <v>2603</v>
      </c>
      <c r="D19" s="5">
        <f t="shared" si="1"/>
        <v>3075</v>
      </c>
      <c r="E19" s="5">
        <f t="shared" si="1"/>
        <v>2048</v>
      </c>
      <c r="F19" s="5">
        <f t="shared" si="1"/>
        <v>142</v>
      </c>
      <c r="G19" s="5">
        <f t="shared" si="1"/>
        <v>2933</v>
      </c>
      <c r="H19" s="5">
        <f t="shared" si="1"/>
        <v>0</v>
      </c>
    </row>
    <row r="22" spans="1:8" ht="28.5" x14ac:dyDescent="0.45">
      <c r="B22" s="9" t="s">
        <v>47</v>
      </c>
    </row>
    <row r="23" spans="1:8" ht="28.5" x14ac:dyDescent="0.45">
      <c r="B23" s="9" t="s">
        <v>48</v>
      </c>
    </row>
    <row r="24" spans="1:8" ht="28.5" x14ac:dyDescent="0.45">
      <c r="B24" s="9" t="s">
        <v>49</v>
      </c>
    </row>
  </sheetData>
  <mergeCells count="1">
    <mergeCell ref="A19:B19"/>
  </mergeCells>
  <pageMargins left="0.2" right="0.2" top="0.3" bottom="0.3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showGridLines="0" workbookViewId="0">
      <pane ySplit="3" topLeftCell="A4" activePane="bottomLeft" state="frozen"/>
      <selection pane="bottomLeft" activeCell="I20" sqref="I20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8" ht="27.95" customHeight="1" x14ac:dyDescent="0.35">
      <c r="A1" s="1" t="s">
        <v>12</v>
      </c>
    </row>
    <row r="3" spans="1:8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0.100000000000001" customHeight="1" x14ac:dyDescent="0.25">
      <c r="A4" s="3">
        <v>974302259</v>
      </c>
      <c r="B4" s="3" t="s">
        <v>53</v>
      </c>
      <c r="C4" s="6">
        <v>80</v>
      </c>
      <c r="D4" s="6">
        <v>50</v>
      </c>
      <c r="E4" s="6">
        <f t="shared" ref="E4:E16" si="0">IF(C4="","",C4-D4)</f>
        <v>30</v>
      </c>
      <c r="F4" s="6">
        <v>50</v>
      </c>
      <c r="G4" s="6"/>
      <c r="H4" s="4" t="s">
        <v>55</v>
      </c>
    </row>
    <row r="5" spans="1:8" ht="20.100000000000001" customHeight="1" x14ac:dyDescent="0.25">
      <c r="A5" s="3"/>
      <c r="B5" s="3" t="s">
        <v>29</v>
      </c>
      <c r="C5" s="6">
        <v>23</v>
      </c>
      <c r="D5" s="6">
        <v>23</v>
      </c>
      <c r="E5" s="6">
        <f t="shared" si="0"/>
        <v>0</v>
      </c>
      <c r="F5" s="6"/>
      <c r="G5" s="6">
        <v>23</v>
      </c>
      <c r="H5" s="4"/>
    </row>
    <row r="6" spans="1:8" ht="20.100000000000001" customHeight="1" x14ac:dyDescent="0.25">
      <c r="A6" s="3"/>
      <c r="B6" s="3" t="s">
        <v>56</v>
      </c>
      <c r="C6" s="6">
        <v>100</v>
      </c>
      <c r="D6" s="6">
        <v>100</v>
      </c>
      <c r="E6" s="6">
        <f t="shared" si="0"/>
        <v>0</v>
      </c>
      <c r="F6" s="6"/>
      <c r="G6" s="6">
        <v>100</v>
      </c>
      <c r="H6" s="4"/>
    </row>
    <row r="7" spans="1:8" ht="20.100000000000001" customHeight="1" x14ac:dyDescent="0.25">
      <c r="A7" s="3"/>
      <c r="B7" s="3" t="s">
        <v>51</v>
      </c>
      <c r="C7" s="6">
        <v>40</v>
      </c>
      <c r="D7" s="6">
        <v>10</v>
      </c>
      <c r="E7" s="6">
        <f t="shared" si="0"/>
        <v>30</v>
      </c>
      <c r="F7" s="6"/>
      <c r="G7" s="6">
        <v>10</v>
      </c>
      <c r="H7" s="4"/>
    </row>
    <row r="8" spans="1:8" ht="20.100000000000001" customHeight="1" x14ac:dyDescent="0.25">
      <c r="A8" s="3"/>
      <c r="B8" s="3" t="s">
        <v>52</v>
      </c>
      <c r="C8" s="6">
        <v>130</v>
      </c>
      <c r="D8" s="6">
        <v>100</v>
      </c>
      <c r="E8" s="6">
        <f t="shared" si="0"/>
        <v>30</v>
      </c>
      <c r="F8" s="6">
        <v>100</v>
      </c>
      <c r="G8" s="6"/>
      <c r="H8" s="4"/>
    </row>
    <row r="9" spans="1:8" ht="20.100000000000001" customHeight="1" x14ac:dyDescent="0.25">
      <c r="A9" s="3"/>
      <c r="B9" s="3" t="s">
        <v>54</v>
      </c>
      <c r="C9" s="6"/>
      <c r="D9" s="6">
        <v>180</v>
      </c>
      <c r="E9" s="6" t="str">
        <f t="shared" si="0"/>
        <v/>
      </c>
      <c r="F9" s="6"/>
      <c r="G9" s="6">
        <v>180</v>
      </c>
      <c r="H9" s="4"/>
    </row>
    <row r="10" spans="1:8" ht="20.100000000000001" customHeight="1" x14ac:dyDescent="0.25">
      <c r="A10" s="3"/>
      <c r="B10" s="3" t="s">
        <v>57</v>
      </c>
      <c r="C10" s="6"/>
      <c r="D10" s="6">
        <v>30</v>
      </c>
      <c r="E10" s="6" t="str">
        <f t="shared" si="0"/>
        <v/>
      </c>
      <c r="F10" s="6"/>
      <c r="G10" s="6">
        <v>30</v>
      </c>
      <c r="H10" s="4"/>
    </row>
    <row r="11" spans="1:8" ht="20.100000000000001" customHeight="1" x14ac:dyDescent="0.25">
      <c r="A11" s="3"/>
      <c r="B11" s="3" t="s">
        <v>58</v>
      </c>
      <c r="C11" s="6">
        <v>50</v>
      </c>
      <c r="D11" s="6">
        <v>50</v>
      </c>
      <c r="E11" s="6">
        <f t="shared" si="0"/>
        <v>0</v>
      </c>
      <c r="F11" s="6"/>
      <c r="G11" s="6">
        <v>50</v>
      </c>
      <c r="H11" s="4"/>
    </row>
    <row r="12" spans="1:8" ht="20.100000000000001" customHeight="1" x14ac:dyDescent="0.25">
      <c r="A12" s="3"/>
      <c r="B12" s="3" t="s">
        <v>59</v>
      </c>
      <c r="C12" s="6">
        <v>38</v>
      </c>
      <c r="D12" s="6">
        <v>38</v>
      </c>
      <c r="E12" s="6">
        <f t="shared" si="0"/>
        <v>0</v>
      </c>
      <c r="F12" s="6">
        <v>38</v>
      </c>
      <c r="G12" s="6"/>
      <c r="H12" s="4"/>
    </row>
    <row r="13" spans="1:8" ht="20.100000000000001" customHeight="1" x14ac:dyDescent="0.25">
      <c r="A13" s="3"/>
      <c r="B13" s="3" t="s">
        <v>60</v>
      </c>
      <c r="C13" s="6"/>
      <c r="D13" s="6">
        <v>100</v>
      </c>
      <c r="E13" s="6" t="str">
        <f t="shared" si="0"/>
        <v/>
      </c>
      <c r="F13" s="6"/>
      <c r="G13" s="6">
        <v>100</v>
      </c>
      <c r="H13" s="4"/>
    </row>
    <row r="14" spans="1:8" ht="20.100000000000001" customHeight="1" x14ac:dyDescent="0.25">
      <c r="A14" s="3"/>
      <c r="B14" s="3"/>
      <c r="C14" s="6"/>
      <c r="D14" s="6"/>
      <c r="E14" s="6" t="str">
        <f t="shared" si="0"/>
        <v/>
      </c>
      <c r="F14" s="6"/>
      <c r="G14" s="6"/>
      <c r="H14" s="4"/>
    </row>
    <row r="15" spans="1:8" ht="20.100000000000001" customHeight="1" x14ac:dyDescent="0.25">
      <c r="A15" s="3"/>
      <c r="B15" s="3"/>
      <c r="C15" s="6"/>
      <c r="D15" s="6"/>
      <c r="E15" s="6" t="str">
        <f t="shared" si="0"/>
        <v/>
      </c>
      <c r="F15" s="6"/>
      <c r="G15" s="6"/>
      <c r="H15" s="4"/>
    </row>
    <row r="16" spans="1:8" ht="20.100000000000001" customHeight="1" x14ac:dyDescent="0.25">
      <c r="A16" s="3"/>
      <c r="B16" s="3"/>
      <c r="C16" s="6"/>
      <c r="D16" s="6"/>
      <c r="E16" s="6" t="str">
        <f t="shared" si="0"/>
        <v/>
      </c>
      <c r="F16" s="6"/>
      <c r="G16" s="6"/>
      <c r="H16" s="4"/>
    </row>
    <row r="17" spans="1:9" ht="20.100000000000001" customHeight="1" x14ac:dyDescent="0.25">
      <c r="A17" s="12" t="s">
        <v>9</v>
      </c>
      <c r="B17" s="12"/>
      <c r="C17" s="5">
        <f t="shared" ref="C17:H17" si="1">SUM(C4:C16)</f>
        <v>461</v>
      </c>
      <c r="D17" s="5">
        <f t="shared" si="1"/>
        <v>681</v>
      </c>
      <c r="E17" s="5">
        <f t="shared" si="1"/>
        <v>90</v>
      </c>
      <c r="F17" s="5">
        <f t="shared" si="1"/>
        <v>188</v>
      </c>
      <c r="G17" s="5">
        <f t="shared" si="1"/>
        <v>493</v>
      </c>
      <c r="H17" s="5">
        <f t="shared" si="1"/>
        <v>0</v>
      </c>
    </row>
    <row r="18" spans="1:9" ht="20.100000000000001" customHeight="1" x14ac:dyDescent="0.25"/>
    <row r="19" spans="1:9" ht="20.100000000000001" customHeight="1" x14ac:dyDescent="0.25"/>
    <row r="20" spans="1:9" ht="20.100000000000001" customHeight="1" x14ac:dyDescent="0.5">
      <c r="D20" s="10" t="s">
        <v>61</v>
      </c>
      <c r="I20" s="11"/>
    </row>
    <row r="21" spans="1:9" ht="20.100000000000001" customHeight="1" x14ac:dyDescent="0.25"/>
    <row r="22" spans="1:9" ht="20.100000000000001" customHeight="1" x14ac:dyDescent="0.25"/>
    <row r="23" spans="1:9" ht="20.100000000000001" customHeight="1" x14ac:dyDescent="0.25"/>
    <row r="24" spans="1:9" ht="24" customHeight="1" x14ac:dyDescent="0.25"/>
  </sheetData>
  <mergeCells count="1">
    <mergeCell ref="A17:B17"/>
  </mergeCells>
  <pageMargins left="0.2" right="0.2" top="0.3" bottom="0.3" header="0.5" footer="0.5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showGridLines="0" workbookViewId="0">
      <pane ySplit="3" topLeftCell="A4" activePane="bottomLeft" state="frozen"/>
      <selection pane="bottomLeft" activeCell="B18" sqref="B18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8" ht="27.95" customHeight="1" x14ac:dyDescent="0.35">
      <c r="A1" s="1" t="s">
        <v>13</v>
      </c>
    </row>
    <row r="3" spans="1:8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0.100000000000001" customHeight="1" x14ac:dyDescent="0.25">
      <c r="A4" s="3"/>
      <c r="B4" s="3" t="s">
        <v>63</v>
      </c>
      <c r="C4" s="6">
        <v>30</v>
      </c>
      <c r="D4" s="6">
        <v>30</v>
      </c>
      <c r="E4" s="6">
        <f t="shared" ref="E4:E23" si="0">IF(C4="","",C4-D4)</f>
        <v>0</v>
      </c>
      <c r="F4" s="6"/>
      <c r="G4" s="6">
        <v>30</v>
      </c>
      <c r="H4" s="6"/>
    </row>
    <row r="5" spans="1:8" ht="20.100000000000001" customHeight="1" x14ac:dyDescent="0.25">
      <c r="A5" s="3"/>
      <c r="B5" s="3" t="s">
        <v>62</v>
      </c>
      <c r="C5" s="6">
        <v>7</v>
      </c>
      <c r="D5" s="6">
        <v>7</v>
      </c>
      <c r="E5" s="6">
        <f t="shared" si="0"/>
        <v>0</v>
      </c>
      <c r="F5" s="6"/>
      <c r="G5" s="6">
        <v>7</v>
      </c>
      <c r="H5" s="6"/>
    </row>
    <row r="6" spans="1:8" ht="20.100000000000001" customHeight="1" x14ac:dyDescent="0.25">
      <c r="A6" s="3"/>
      <c r="B6" s="3" t="s">
        <v>64</v>
      </c>
      <c r="C6" s="6">
        <v>1530</v>
      </c>
      <c r="D6" s="6">
        <v>500</v>
      </c>
      <c r="E6" s="6">
        <f t="shared" si="0"/>
        <v>1030</v>
      </c>
      <c r="F6" s="6">
        <v>500</v>
      </c>
      <c r="G6" s="6"/>
      <c r="H6" s="6"/>
    </row>
    <row r="7" spans="1:8" ht="20.100000000000001" customHeight="1" x14ac:dyDescent="0.25">
      <c r="A7" s="3"/>
      <c r="B7" s="3" t="s">
        <v>65</v>
      </c>
      <c r="C7" s="6">
        <v>108</v>
      </c>
      <c r="D7" s="6">
        <v>108</v>
      </c>
      <c r="E7" s="6">
        <f t="shared" si="0"/>
        <v>0</v>
      </c>
      <c r="F7" s="6"/>
      <c r="G7" s="6">
        <v>108</v>
      </c>
      <c r="H7" s="6"/>
    </row>
    <row r="8" spans="1:8" ht="20.100000000000001" customHeight="1" x14ac:dyDescent="0.25">
      <c r="A8" s="3"/>
      <c r="B8" s="3" t="s">
        <v>66</v>
      </c>
      <c r="C8" s="6">
        <v>16</v>
      </c>
      <c r="D8" s="6">
        <v>16</v>
      </c>
      <c r="E8" s="6">
        <f t="shared" si="0"/>
        <v>0</v>
      </c>
      <c r="F8" s="6">
        <v>16</v>
      </c>
      <c r="G8" s="6"/>
      <c r="H8" s="6"/>
    </row>
    <row r="9" spans="1:8" ht="20.100000000000001" customHeight="1" x14ac:dyDescent="0.25">
      <c r="A9" s="3"/>
      <c r="B9" s="3" t="s">
        <v>67</v>
      </c>
      <c r="C9" s="6">
        <v>8</v>
      </c>
      <c r="D9" s="6">
        <v>8</v>
      </c>
      <c r="E9" s="6">
        <f t="shared" si="0"/>
        <v>0</v>
      </c>
      <c r="F9" s="6"/>
      <c r="G9" s="6">
        <v>8</v>
      </c>
      <c r="H9" s="6"/>
    </row>
    <row r="10" spans="1:8" ht="20.100000000000001" customHeight="1" x14ac:dyDescent="0.25">
      <c r="A10" s="3"/>
      <c r="B10" s="3" t="s">
        <v>68</v>
      </c>
      <c r="C10" s="6"/>
      <c r="D10" s="6">
        <v>20</v>
      </c>
      <c r="E10" s="6" t="str">
        <f t="shared" si="0"/>
        <v/>
      </c>
      <c r="F10" s="6"/>
      <c r="G10" s="6">
        <v>20</v>
      </c>
      <c r="H10" s="6"/>
    </row>
    <row r="11" spans="1:8" ht="20.100000000000001" customHeight="1" x14ac:dyDescent="0.25">
      <c r="A11" s="3"/>
      <c r="B11" s="3" t="s">
        <v>69</v>
      </c>
      <c r="C11" s="6">
        <v>15</v>
      </c>
      <c r="D11" s="6">
        <v>15</v>
      </c>
      <c r="E11" s="6">
        <f t="shared" si="0"/>
        <v>0</v>
      </c>
      <c r="F11" s="6"/>
      <c r="G11" s="6">
        <v>15</v>
      </c>
      <c r="H11" s="6"/>
    </row>
    <row r="12" spans="1:8" ht="20.100000000000001" customHeight="1" x14ac:dyDescent="0.25">
      <c r="A12" s="3"/>
      <c r="B12" s="3" t="s">
        <v>70</v>
      </c>
      <c r="C12" s="6"/>
      <c r="D12" s="6">
        <v>30</v>
      </c>
      <c r="E12" s="6" t="str">
        <f t="shared" si="0"/>
        <v/>
      </c>
      <c r="F12" s="6"/>
      <c r="G12" s="6">
        <v>30</v>
      </c>
      <c r="H12" s="6"/>
    </row>
    <row r="13" spans="1:8" ht="20.100000000000001" customHeight="1" x14ac:dyDescent="0.25">
      <c r="A13" s="3"/>
      <c r="B13" s="3" t="s">
        <v>71</v>
      </c>
      <c r="C13" s="6"/>
      <c r="D13" s="6">
        <v>155</v>
      </c>
      <c r="E13" s="6" t="str">
        <f t="shared" si="0"/>
        <v/>
      </c>
      <c r="F13" s="6">
        <v>155</v>
      </c>
      <c r="G13" s="6"/>
      <c r="H13" s="6"/>
    </row>
    <row r="14" spans="1:8" ht="20.100000000000001" customHeight="1" x14ac:dyDescent="0.25">
      <c r="A14" s="3"/>
      <c r="B14" s="3" t="s">
        <v>72</v>
      </c>
      <c r="C14" s="6">
        <v>105</v>
      </c>
      <c r="D14" s="6">
        <v>105</v>
      </c>
      <c r="E14" s="6">
        <f t="shared" si="0"/>
        <v>0</v>
      </c>
      <c r="F14" s="6">
        <v>105</v>
      </c>
      <c r="G14" s="6"/>
      <c r="H14" s="6"/>
    </row>
    <row r="15" spans="1:8" ht="20.100000000000001" customHeight="1" x14ac:dyDescent="0.25">
      <c r="A15" s="3"/>
      <c r="B15" s="3" t="s">
        <v>73</v>
      </c>
      <c r="C15" s="6"/>
      <c r="D15" s="6">
        <v>200</v>
      </c>
      <c r="E15" s="6" t="str">
        <f t="shared" si="0"/>
        <v/>
      </c>
      <c r="F15" s="6">
        <v>200</v>
      </c>
      <c r="G15" s="6"/>
      <c r="H15" s="6"/>
    </row>
    <row r="16" spans="1:8" ht="20.100000000000001" customHeight="1" x14ac:dyDescent="0.25">
      <c r="A16" s="3"/>
      <c r="B16" s="3" t="s">
        <v>74</v>
      </c>
      <c r="C16" s="6">
        <v>180</v>
      </c>
      <c r="D16" s="6">
        <v>180</v>
      </c>
      <c r="E16" s="6">
        <f t="shared" si="0"/>
        <v>0</v>
      </c>
      <c r="F16" s="6"/>
      <c r="G16" s="6">
        <v>180</v>
      </c>
      <c r="H16" s="6"/>
    </row>
    <row r="17" spans="1:8" ht="20.100000000000001" customHeight="1" x14ac:dyDescent="0.25">
      <c r="A17" s="3"/>
      <c r="B17" s="3" t="s">
        <v>75</v>
      </c>
      <c r="C17" s="6">
        <v>20</v>
      </c>
      <c r="D17" s="6">
        <v>20</v>
      </c>
      <c r="E17" s="6">
        <f t="shared" si="0"/>
        <v>0</v>
      </c>
      <c r="F17" s="6">
        <v>20</v>
      </c>
      <c r="G17" s="6"/>
      <c r="H17" s="6"/>
    </row>
    <row r="18" spans="1:8" ht="20.100000000000001" customHeight="1" x14ac:dyDescent="0.25">
      <c r="A18" s="3"/>
      <c r="B18" s="3"/>
      <c r="C18" s="6"/>
      <c r="D18" s="6"/>
      <c r="E18" s="6" t="str">
        <f t="shared" si="0"/>
        <v/>
      </c>
      <c r="F18" s="6"/>
      <c r="G18" s="6"/>
      <c r="H18" s="6"/>
    </row>
    <row r="19" spans="1:8" ht="20.100000000000001" customHeight="1" x14ac:dyDescent="0.25">
      <c r="A19" s="3"/>
      <c r="B19" s="3"/>
      <c r="C19" s="6"/>
      <c r="D19" s="6"/>
      <c r="E19" s="6" t="str">
        <f t="shared" si="0"/>
        <v/>
      </c>
      <c r="F19" s="6"/>
      <c r="G19" s="6"/>
      <c r="H19" s="6"/>
    </row>
    <row r="20" spans="1:8" ht="20.100000000000001" customHeight="1" x14ac:dyDescent="0.25">
      <c r="A20" s="3"/>
      <c r="B20" s="3"/>
      <c r="C20" s="6"/>
      <c r="D20" s="6"/>
      <c r="E20" s="6" t="str">
        <f t="shared" si="0"/>
        <v/>
      </c>
      <c r="F20" s="6"/>
      <c r="G20" s="6"/>
      <c r="H20" s="6"/>
    </row>
    <row r="21" spans="1:8" ht="20.100000000000001" customHeight="1" x14ac:dyDescent="0.25">
      <c r="A21" s="3"/>
      <c r="B21" s="3"/>
      <c r="C21" s="6"/>
      <c r="D21" s="6"/>
      <c r="E21" s="6" t="str">
        <f t="shared" si="0"/>
        <v/>
      </c>
      <c r="F21" s="6"/>
      <c r="G21" s="6"/>
      <c r="H21" s="6"/>
    </row>
    <row r="22" spans="1:8" ht="20.100000000000001" customHeight="1" x14ac:dyDescent="0.25">
      <c r="A22" s="3"/>
      <c r="B22" s="3"/>
      <c r="C22" s="6"/>
      <c r="D22" s="6"/>
      <c r="E22" s="6" t="str">
        <f t="shared" si="0"/>
        <v/>
      </c>
      <c r="F22" s="6"/>
      <c r="G22" s="6"/>
      <c r="H22" s="6"/>
    </row>
    <row r="23" spans="1:8" ht="20.100000000000001" customHeight="1" x14ac:dyDescent="0.25">
      <c r="A23" s="3"/>
      <c r="B23" s="3"/>
      <c r="C23" s="6"/>
      <c r="D23" s="6"/>
      <c r="E23" s="6" t="str">
        <f t="shared" si="0"/>
        <v/>
      </c>
      <c r="F23" s="6"/>
      <c r="G23" s="6"/>
      <c r="H23" s="6"/>
    </row>
    <row r="24" spans="1:8" ht="24" customHeight="1" x14ac:dyDescent="0.25">
      <c r="A24" s="12" t="s">
        <v>9</v>
      </c>
      <c r="B24" s="12"/>
      <c r="C24" s="5">
        <f t="shared" ref="C24:H24" si="1">SUM(C4:C23)</f>
        <v>2019</v>
      </c>
      <c r="D24" s="5">
        <f t="shared" si="1"/>
        <v>1394</v>
      </c>
      <c r="E24" s="5">
        <f t="shared" si="1"/>
        <v>1030</v>
      </c>
      <c r="F24" s="5">
        <f t="shared" si="1"/>
        <v>996</v>
      </c>
      <c r="G24" s="5">
        <f t="shared" si="1"/>
        <v>398</v>
      </c>
      <c r="H24" s="5">
        <f t="shared" si="1"/>
        <v>0</v>
      </c>
    </row>
  </sheetData>
  <mergeCells count="1">
    <mergeCell ref="A24:B24"/>
  </mergeCells>
  <pageMargins left="0.2" right="0.2" top="0.3" bottom="0.3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showGridLines="0" tabSelected="1" workbookViewId="0">
      <pane ySplit="3" topLeftCell="A4" activePane="bottomLeft" state="frozen"/>
      <selection pane="bottomLeft" activeCell="L11" sqref="L11"/>
    </sheetView>
  </sheetViews>
  <sheetFormatPr baseColWidth="10" defaultColWidth="9.140625" defaultRowHeight="15" x14ac:dyDescent="0.25"/>
  <cols>
    <col min="1" max="1" width="16" customWidth="1"/>
    <col min="2" max="2" width="28" customWidth="1"/>
    <col min="3" max="8" width="14" customWidth="1"/>
  </cols>
  <sheetData>
    <row r="1" spans="1:8" ht="27.95" customHeight="1" x14ac:dyDescent="0.35">
      <c r="A1" s="1" t="s">
        <v>14</v>
      </c>
    </row>
    <row r="3" spans="1:8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0.100000000000001" customHeight="1" x14ac:dyDescent="0.25">
      <c r="A4" s="3"/>
      <c r="B4" s="3" t="s">
        <v>80</v>
      </c>
      <c r="C4" s="6">
        <v>50</v>
      </c>
      <c r="D4" s="6">
        <v>50</v>
      </c>
      <c r="E4" s="6">
        <f t="shared" ref="E4:E14" si="0">IF(C4="","",C4-D4)</f>
        <v>0</v>
      </c>
      <c r="F4" s="6">
        <v>50</v>
      </c>
      <c r="G4" s="6"/>
      <c r="H4" s="6" t="s">
        <v>77</v>
      </c>
    </row>
    <row r="5" spans="1:8" ht="20.100000000000001" customHeight="1" x14ac:dyDescent="0.25">
      <c r="A5" s="3"/>
      <c r="B5" s="3" t="s">
        <v>79</v>
      </c>
      <c r="C5" s="6">
        <v>19</v>
      </c>
      <c r="D5" s="6">
        <v>19</v>
      </c>
      <c r="E5" s="6">
        <f t="shared" si="0"/>
        <v>0</v>
      </c>
      <c r="F5" s="6">
        <v>19</v>
      </c>
      <c r="G5" s="6"/>
      <c r="H5" s="6" t="s">
        <v>78</v>
      </c>
    </row>
    <row r="6" spans="1:8" ht="20.100000000000001" customHeight="1" x14ac:dyDescent="0.25">
      <c r="A6" s="3"/>
      <c r="B6" s="3" t="s">
        <v>81</v>
      </c>
      <c r="C6" s="6">
        <v>15</v>
      </c>
      <c r="D6" s="6">
        <v>15</v>
      </c>
      <c r="E6" s="6">
        <f t="shared" si="0"/>
        <v>0</v>
      </c>
      <c r="F6" s="6"/>
      <c r="G6" s="6">
        <v>15</v>
      </c>
      <c r="H6" s="6" t="s">
        <v>82</v>
      </c>
    </row>
    <row r="7" spans="1:8" ht="20.100000000000001" customHeight="1" x14ac:dyDescent="0.25">
      <c r="A7" s="3"/>
      <c r="B7" s="3"/>
      <c r="C7" s="6"/>
      <c r="D7" s="6"/>
      <c r="E7" s="6" t="str">
        <f t="shared" si="0"/>
        <v/>
      </c>
      <c r="F7" s="6"/>
      <c r="G7" s="6"/>
      <c r="H7" s="6"/>
    </row>
    <row r="8" spans="1:8" ht="20.100000000000001" customHeight="1" x14ac:dyDescent="0.25">
      <c r="A8" s="3"/>
      <c r="B8" s="3" t="s">
        <v>35</v>
      </c>
      <c r="C8" s="6"/>
      <c r="D8" s="6">
        <v>120</v>
      </c>
      <c r="E8" s="6" t="str">
        <f t="shared" si="0"/>
        <v/>
      </c>
      <c r="F8" s="6"/>
      <c r="G8" s="6">
        <v>120</v>
      </c>
      <c r="H8" s="6"/>
    </row>
    <row r="9" spans="1:8" ht="20.100000000000001" customHeight="1" x14ac:dyDescent="0.25">
      <c r="A9" s="3"/>
      <c r="B9" s="3" t="s">
        <v>76</v>
      </c>
      <c r="C9" s="6">
        <v>30</v>
      </c>
      <c r="D9" s="6">
        <v>30</v>
      </c>
      <c r="E9" s="6">
        <f t="shared" si="0"/>
        <v>0</v>
      </c>
      <c r="F9" s="6">
        <v>30</v>
      </c>
      <c r="G9" s="6"/>
      <c r="H9" s="6"/>
    </row>
    <row r="10" spans="1:8" ht="20.100000000000001" customHeight="1" x14ac:dyDescent="0.25">
      <c r="A10" s="3"/>
      <c r="B10" s="3"/>
      <c r="C10" s="6"/>
      <c r="D10" s="6"/>
      <c r="E10" s="6" t="str">
        <f t="shared" si="0"/>
        <v/>
      </c>
      <c r="F10" s="6"/>
      <c r="G10" s="6"/>
      <c r="H10" s="6"/>
    </row>
    <row r="11" spans="1:8" ht="20.100000000000001" customHeight="1" x14ac:dyDescent="0.25">
      <c r="A11" s="3"/>
      <c r="B11" s="3"/>
      <c r="C11" s="6"/>
      <c r="D11" s="6"/>
      <c r="E11" s="6" t="str">
        <f t="shared" si="0"/>
        <v/>
      </c>
      <c r="F11" s="6"/>
      <c r="G11" s="6"/>
      <c r="H11" s="6"/>
    </row>
    <row r="12" spans="1:8" ht="20.100000000000001" customHeight="1" x14ac:dyDescent="0.25">
      <c r="A12" s="3"/>
      <c r="B12" s="3"/>
      <c r="C12" s="6"/>
      <c r="D12" s="6"/>
      <c r="E12" s="6" t="str">
        <f t="shared" si="0"/>
        <v/>
      </c>
      <c r="F12" s="6"/>
      <c r="G12" s="6"/>
      <c r="H12" s="6"/>
    </row>
    <row r="13" spans="1:8" ht="20.100000000000001" customHeight="1" x14ac:dyDescent="0.25">
      <c r="A13" s="3"/>
      <c r="B13" s="3"/>
      <c r="C13" s="6"/>
      <c r="D13" s="6"/>
      <c r="E13" s="6" t="str">
        <f t="shared" si="0"/>
        <v/>
      </c>
      <c r="F13" s="6"/>
      <c r="G13" s="6"/>
      <c r="H13" s="6"/>
    </row>
    <row r="14" spans="1:8" ht="20.100000000000001" customHeight="1" x14ac:dyDescent="0.25">
      <c r="A14" s="3"/>
      <c r="B14" s="3"/>
      <c r="C14" s="6"/>
      <c r="D14" s="6"/>
      <c r="E14" s="6" t="str">
        <f t="shared" si="0"/>
        <v/>
      </c>
      <c r="F14" s="6"/>
      <c r="G14" s="6"/>
      <c r="H14" s="6"/>
    </row>
    <row r="15" spans="1:8" ht="20.100000000000001" customHeight="1" x14ac:dyDescent="0.25">
      <c r="A15" s="12" t="s">
        <v>9</v>
      </c>
      <c r="B15" s="12"/>
      <c r="C15" s="5">
        <f>SUM(C4:C14)</f>
        <v>114</v>
      </c>
      <c r="D15" s="5">
        <f>SUM(D4:D14)</f>
        <v>234</v>
      </c>
      <c r="E15" s="5">
        <f>SUM(E4:E14)</f>
        <v>0</v>
      </c>
      <c r="F15" s="5">
        <f>SUM(F4:F14)</f>
        <v>99</v>
      </c>
      <c r="G15" s="5">
        <f>SUM(G4:G14)</f>
        <v>135</v>
      </c>
      <c r="H15" s="5">
        <f>SUM(H4:H14)</f>
        <v>0</v>
      </c>
    </row>
    <row r="16" spans="1:8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4" customHeight="1" x14ac:dyDescent="0.25"/>
  </sheetData>
  <mergeCells count="1">
    <mergeCell ref="A15:B15"/>
  </mergeCells>
  <pageMargins left="0.2" right="0.2" top="0.3" bottom="0.3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LUNES</vt:lpstr>
      <vt:lpstr>MARTES</vt:lpstr>
      <vt:lpstr>MIÉRCOLES</vt:lpstr>
      <vt:lpstr>JUEVES</vt:lpstr>
      <vt:lpstr>VIERNES</vt:lpstr>
      <vt:lpstr>SÁBADO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 IMPRESOS</cp:lastModifiedBy>
  <dcterms:created xsi:type="dcterms:W3CDTF">2026-08-17T17:43:32Z</dcterms:created>
  <dcterms:modified xsi:type="dcterms:W3CDTF">2026-08-23T01:39:10Z</dcterms:modified>
</cp:coreProperties>
</file>