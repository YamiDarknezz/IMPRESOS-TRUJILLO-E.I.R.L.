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UENTAS\EXCEL CUENTAS\"/>
    </mc:Choice>
  </mc:AlternateContent>
  <bookViews>
    <workbookView xWindow="0" yWindow="0" windowWidth="28800" windowHeight="12210" activeTab="5"/>
  </bookViews>
  <sheets>
    <sheet name="LUNES" sheetId="1" r:id="rId1"/>
    <sheet name="MARTES" sheetId="2" r:id="rId2"/>
    <sheet name="MIERCOLES" sheetId="4" r:id="rId3"/>
    <sheet name="JUEVES" sheetId="5" r:id="rId4"/>
    <sheet name="VIERNES" sheetId="6" r:id="rId5"/>
    <sheet name="SABADO" sheetId="7" r:id="rId6"/>
  </sheets>
  <calcPr calcId="162913"/>
</workbook>
</file>

<file path=xl/calcChain.xml><?xml version="1.0" encoding="utf-8"?>
<calcChain xmlns="http://schemas.openxmlformats.org/spreadsheetml/2006/main">
  <c r="D19" i="7" l="1"/>
  <c r="C21" i="7"/>
  <c r="E21" i="7"/>
  <c r="G21" i="7"/>
  <c r="D17" i="7"/>
  <c r="D16" i="7"/>
  <c r="D15" i="7"/>
  <c r="D14" i="7"/>
  <c r="D13" i="7"/>
  <c r="D12" i="7"/>
  <c r="D11" i="7"/>
  <c r="D9" i="7"/>
  <c r="D8" i="7"/>
  <c r="D7" i="7"/>
  <c r="D6" i="7"/>
  <c r="D5" i="7"/>
  <c r="D4" i="7"/>
  <c r="D18" i="7" l="1"/>
  <c r="D18" i="6" l="1"/>
  <c r="D17" i="6"/>
  <c r="D16" i="6"/>
  <c r="D15" i="6"/>
  <c r="D14" i="6"/>
  <c r="D13" i="6"/>
  <c r="D12" i="6"/>
  <c r="D11" i="6"/>
  <c r="D10" i="6"/>
  <c r="D9" i="6"/>
  <c r="D7" i="6"/>
  <c r="D6" i="6"/>
  <c r="D5" i="6"/>
  <c r="D4" i="6"/>
  <c r="G19" i="6"/>
  <c r="F19" i="6"/>
  <c r="E19" i="6"/>
  <c r="C19" i="6"/>
  <c r="D18" i="5" l="1"/>
  <c r="D17" i="5"/>
  <c r="D16" i="5"/>
  <c r="D15" i="5"/>
  <c r="D14" i="5"/>
  <c r="D13" i="5"/>
  <c r="D12" i="5"/>
  <c r="D10" i="5"/>
  <c r="D9" i="5"/>
  <c r="G19" i="5" l="1"/>
  <c r="F19" i="5"/>
  <c r="E19" i="5"/>
  <c r="C19" i="5"/>
  <c r="D6" i="5"/>
  <c r="D4" i="5"/>
  <c r="D4" i="4" l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G19" i="4"/>
  <c r="F19" i="4"/>
  <c r="E19" i="4"/>
  <c r="C19" i="4"/>
  <c r="F19" i="2" l="1"/>
  <c r="G19" i="2" l="1"/>
  <c r="E19" i="2"/>
  <c r="C19" i="2"/>
  <c r="D18" i="2"/>
  <c r="D6" i="1" l="1"/>
  <c r="D10" i="1" l="1"/>
  <c r="G19" i="1"/>
  <c r="F19" i="1"/>
  <c r="E19" i="1"/>
  <c r="C19" i="1"/>
  <c r="D18" i="1"/>
  <c r="D17" i="1"/>
  <c r="D16" i="1"/>
  <c r="D15" i="1"/>
  <c r="D14" i="1"/>
  <c r="D13" i="1"/>
  <c r="D12" i="1"/>
  <c r="D11" i="1"/>
  <c r="D9" i="1"/>
  <c r="D8" i="1"/>
  <c r="D7" i="1"/>
  <c r="D4" i="1"/>
</calcChain>
</file>

<file path=xl/sharedStrings.xml><?xml version="1.0" encoding="utf-8"?>
<sst xmlns="http://schemas.openxmlformats.org/spreadsheetml/2006/main" count="149" uniqueCount="87">
  <si>
    <t>LUNES</t>
  </si>
  <si>
    <t>CLIENTE</t>
  </si>
  <si>
    <t>PRECIO</t>
  </si>
  <si>
    <t>A CUENTA</t>
  </si>
  <si>
    <t>SALDO</t>
  </si>
  <si>
    <t>YAPE</t>
  </si>
  <si>
    <t>EFECTIVO</t>
  </si>
  <si>
    <t>GASTOS</t>
  </si>
  <si>
    <t>TOTAL</t>
  </si>
  <si>
    <t>REMI</t>
  </si>
  <si>
    <t>HELADOS</t>
  </si>
  <si>
    <t>PLOTEO</t>
  </si>
  <si>
    <t>DTF</t>
  </si>
  <si>
    <t>ROLL SCREEN</t>
  </si>
  <si>
    <t>LUJAN  SALDO</t>
  </si>
  <si>
    <t>VINIL MATE</t>
  </si>
  <si>
    <t>TINTA</t>
  </si>
  <si>
    <t>LAPICEROS</t>
  </si>
  <si>
    <t>VINIL  SALDO</t>
  </si>
  <si>
    <t>LETRERO ACRILICO</t>
  </si>
  <si>
    <t>VINIL</t>
  </si>
  <si>
    <t>MARIO ROBLES</t>
  </si>
  <si>
    <t>STICKERS</t>
  </si>
  <si>
    <t>VINIL LUCIA</t>
  </si>
  <si>
    <t xml:space="preserve">PAPEL </t>
  </si>
  <si>
    <t>NUMERACION CHAVO</t>
  </si>
  <si>
    <t xml:space="preserve">TOTAL EFECTIVO ENTREGADO= </t>
  </si>
  <si>
    <t>MARTES</t>
  </si>
  <si>
    <t>PROF.</t>
  </si>
  <si>
    <t>VINILES</t>
  </si>
  <si>
    <t>BETO BANN.</t>
  </si>
  <si>
    <t>VILLEGAS</t>
  </si>
  <si>
    <t>ELIAS BAN.</t>
  </si>
  <si>
    <t>WALDIR</t>
  </si>
  <si>
    <t>BANNER</t>
  </si>
  <si>
    <t>MORENA</t>
  </si>
  <si>
    <t>CAMELLO</t>
  </si>
  <si>
    <t>DANIEL SA.</t>
  </si>
  <si>
    <t>DANIEL BAN.</t>
  </si>
  <si>
    <t>GRAEL BANNER</t>
  </si>
  <si>
    <t>CELTEX</t>
  </si>
  <si>
    <t>RICARDO</t>
  </si>
  <si>
    <t xml:space="preserve">TOTAL  EFECTIVO= </t>
  </si>
  <si>
    <t>MIGUEL LOPEZ</t>
  </si>
  <si>
    <t>TELO</t>
  </si>
  <si>
    <t>SALAZAR</t>
  </si>
  <si>
    <t>AMANCIO</t>
  </si>
  <si>
    <t>RAUL</t>
  </si>
  <si>
    <t>ALAN CORTE</t>
  </si>
  <si>
    <t>AGUA</t>
  </si>
  <si>
    <t>ROLL</t>
  </si>
  <si>
    <t>DANIEL SAN.</t>
  </si>
  <si>
    <t>PLOTEO VINIL</t>
  </si>
  <si>
    <t>BANNERS</t>
  </si>
  <si>
    <t>BANNER TOCTO</t>
  </si>
  <si>
    <t>BANNER APRA</t>
  </si>
  <si>
    <t>CALENDARIOS</t>
  </si>
  <si>
    <t>BANNER SALDO</t>
  </si>
  <si>
    <t>PLANTILLA</t>
  </si>
  <si>
    <t>ANGEL</t>
  </si>
  <si>
    <t>JANET BANNER</t>
  </si>
  <si>
    <t>PORVENIR BANN.</t>
  </si>
  <si>
    <t>BOMBO</t>
  </si>
  <si>
    <t>JUEVES</t>
  </si>
  <si>
    <t>CHAVO</t>
  </si>
  <si>
    <t>BANNER VENTA</t>
  </si>
  <si>
    <t>VIERNES</t>
  </si>
  <si>
    <t>BANNER LUIS</t>
  </si>
  <si>
    <t>CORTE CHILON</t>
  </si>
  <si>
    <t>BANNER ELIAS</t>
  </si>
  <si>
    <t>BANNER TUBOS</t>
  </si>
  <si>
    <t>NICOLAS</t>
  </si>
  <si>
    <t>VINIL SALDO</t>
  </si>
  <si>
    <t>BANNER DELG.</t>
  </si>
  <si>
    <t>BANNER RAUL SALDO</t>
  </si>
  <si>
    <t>JORGE VILLENA</t>
  </si>
  <si>
    <t>APRA BANNER</t>
  </si>
  <si>
    <t>ESTRELLA</t>
  </si>
  <si>
    <t>LONA JHORDAN</t>
  </si>
  <si>
    <t>VINIL CORICHEM</t>
  </si>
  <si>
    <t>BANNER TELKO</t>
  </si>
  <si>
    <t>BOLETAS SARITA</t>
  </si>
  <si>
    <t>BANNER MARCO</t>
  </si>
  <si>
    <t>VINIL MICHAEL</t>
  </si>
  <si>
    <t>TOCTO BANN. + CALEN.</t>
  </si>
  <si>
    <t>OJALES</t>
  </si>
  <si>
    <t>SABADO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</si>
</sst>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rgb="FFFF0000"/>
      <name val="Calibri"/>
    </font>
    <font>
      <b/>
      <sz val="11"/>
      <color rgb="FFFF0000"/>
      <name val="Calibri"/>
    </font>
    <font>
      <b/>
      <sz val="11"/>
      <name val="Calibri"/>
    </font>
    <font>
      <sz val="11"/>
      <color theme="0"/>
      <name val="Arial Black"/>
      <family val="2"/>
    </font>
    <font>
      <b/>
      <sz val="11"/>
      <color theme="0"/>
      <name val="Arial Black"/>
      <family val="2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4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4" fillId="4" borderId="0" xfId="0" applyFont="1" applyFill="1"/>
    <xf numFmtId="0" fontId="5" fillId="4" borderId="0" xfId="0" applyFont="1" applyFill="1"/>
    <xf numFmtId="0" fontId="6" fillId="0" borderId="0" xfId="0" applyFont="1"/>
    <xf numFmtId="0" fontId="7" fillId="0" borderId="0" xfId="0" applyFont="1"/>
    <xf numFmtId="0" fontId="4" fillId="0" borderId="0" xfId="0" applyFont="1" applyFill="1"/>
    <xf numFmtId="0" fontId="8" fillId="0" borderId="0" xfId="0" applyFont="1" applyFill="1"/>
    <xf numFmtId="0" fontId="5" fillId="0" borderId="0" xfId="0" applyFont="1" applyFill="1"/>
    <xf numFmtId="0" fontId="3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160" zoomScaleNormal="160" workbookViewId="0">
      <pane ySplit="3" topLeftCell="A7" activePane="bottomLeft" state="frozen"/>
      <selection pane="bottomLeft" activeCell="B20" sqref="B20"/>
    </sheetView>
  </sheetViews>
  <sheetFormatPr baseColWidth="10" defaultColWidth="9.140625" defaultRowHeight="15" x14ac:dyDescent="0.25"/>
  <cols>
    <col min="1" max="1" width="20" customWidth="1"/>
    <col min="2" max="2" width="12" customWidth="1"/>
    <col min="3" max="3" width="13" customWidth="1"/>
    <col min="4" max="7" width="12" customWidth="1"/>
  </cols>
  <sheetData>
    <row r="1" spans="1:8" ht="18.75" x14ac:dyDescent="0.3">
      <c r="A1" s="1" t="s">
        <v>0</v>
      </c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8" x14ac:dyDescent="0.25">
      <c r="A4" s="3" t="s">
        <v>9</v>
      </c>
      <c r="B4" s="4">
        <v>15</v>
      </c>
      <c r="C4" s="4">
        <v>15</v>
      </c>
      <c r="D4" s="4">
        <f t="shared" ref="D4:D18" si="0">IF(B4="","",B4-C4)</f>
        <v>0</v>
      </c>
      <c r="E4" s="4">
        <v>15</v>
      </c>
      <c r="F4" s="4"/>
      <c r="G4" s="4">
        <v>6</v>
      </c>
      <c r="H4" t="s">
        <v>17</v>
      </c>
    </row>
    <row r="5" spans="1:8" x14ac:dyDescent="0.25">
      <c r="A5" s="3" t="s">
        <v>10</v>
      </c>
      <c r="B5" s="4">
        <v>105</v>
      </c>
      <c r="C5" s="4">
        <v>50</v>
      </c>
      <c r="D5" s="4">
        <v>55</v>
      </c>
      <c r="E5" s="4"/>
      <c r="F5" s="4">
        <v>50</v>
      </c>
      <c r="G5" s="4">
        <v>238.9</v>
      </c>
      <c r="H5" t="s">
        <v>16</v>
      </c>
    </row>
    <row r="6" spans="1:8" x14ac:dyDescent="0.25">
      <c r="A6" s="3" t="s">
        <v>11</v>
      </c>
      <c r="B6" s="4">
        <v>25</v>
      </c>
      <c r="C6" s="4">
        <v>25</v>
      </c>
      <c r="D6" s="4">
        <f>IF(B6="","",B6-C6)</f>
        <v>0</v>
      </c>
      <c r="E6" s="4"/>
      <c r="F6" s="4">
        <v>25</v>
      </c>
      <c r="G6" s="4">
        <v>85.1</v>
      </c>
      <c r="H6" t="s">
        <v>24</v>
      </c>
    </row>
    <row r="7" spans="1:8" x14ac:dyDescent="0.25">
      <c r="A7" s="3" t="s">
        <v>12</v>
      </c>
      <c r="B7" s="4">
        <v>35</v>
      </c>
      <c r="C7" s="4">
        <v>35</v>
      </c>
      <c r="D7" s="4">
        <f t="shared" si="0"/>
        <v>0</v>
      </c>
      <c r="E7" s="4">
        <v>35</v>
      </c>
      <c r="F7" s="4"/>
      <c r="G7" s="4">
        <v>31</v>
      </c>
      <c r="H7" t="s">
        <v>25</v>
      </c>
    </row>
    <row r="8" spans="1:8" x14ac:dyDescent="0.25">
      <c r="A8" s="3" t="s">
        <v>13</v>
      </c>
      <c r="B8" s="4">
        <v>120</v>
      </c>
      <c r="C8" s="4">
        <v>60</v>
      </c>
      <c r="D8" s="4">
        <f t="shared" si="0"/>
        <v>60</v>
      </c>
      <c r="E8" s="4">
        <v>60</v>
      </c>
      <c r="F8" s="4"/>
      <c r="G8" s="4"/>
    </row>
    <row r="9" spans="1:8" x14ac:dyDescent="0.25">
      <c r="A9" s="3" t="s">
        <v>14</v>
      </c>
      <c r="B9" s="4"/>
      <c r="C9" s="4">
        <v>700</v>
      </c>
      <c r="D9" s="4" t="str">
        <f t="shared" si="0"/>
        <v/>
      </c>
      <c r="E9" s="4">
        <v>300</v>
      </c>
      <c r="F9" s="4">
        <v>400</v>
      </c>
      <c r="G9" s="4"/>
    </row>
    <row r="10" spans="1:8" x14ac:dyDescent="0.25">
      <c r="A10" s="3" t="s">
        <v>15</v>
      </c>
      <c r="B10" s="4">
        <v>20</v>
      </c>
      <c r="C10" s="4">
        <v>20</v>
      </c>
      <c r="D10" s="4">
        <f>IF(B10="","",B10-C10)</f>
        <v>0</v>
      </c>
      <c r="E10" s="4">
        <v>20</v>
      </c>
      <c r="F10" s="4"/>
      <c r="G10" s="4"/>
    </row>
    <row r="11" spans="1:8" x14ac:dyDescent="0.25">
      <c r="A11" s="3" t="s">
        <v>18</v>
      </c>
      <c r="B11" s="4"/>
      <c r="C11" s="4">
        <v>55</v>
      </c>
      <c r="D11" s="4" t="str">
        <f t="shared" si="0"/>
        <v/>
      </c>
      <c r="E11" s="4">
        <v>55</v>
      </c>
      <c r="F11" s="4"/>
      <c r="G11" s="4"/>
    </row>
    <row r="12" spans="1:8" x14ac:dyDescent="0.25">
      <c r="A12" s="3" t="s">
        <v>19</v>
      </c>
      <c r="B12" s="4">
        <v>620</v>
      </c>
      <c r="C12" s="4">
        <v>300</v>
      </c>
      <c r="D12" s="4">
        <f t="shared" si="0"/>
        <v>320</v>
      </c>
      <c r="E12" s="4">
        <v>300</v>
      </c>
      <c r="F12" s="4"/>
      <c r="G12" s="4"/>
    </row>
    <row r="13" spans="1:8" x14ac:dyDescent="0.25">
      <c r="A13" s="3" t="s">
        <v>20</v>
      </c>
      <c r="B13" s="4"/>
      <c r="C13" s="4">
        <v>54</v>
      </c>
      <c r="D13" s="4" t="str">
        <f t="shared" si="0"/>
        <v/>
      </c>
      <c r="E13" s="4"/>
      <c r="F13" s="4">
        <v>54</v>
      </c>
      <c r="G13" s="4"/>
    </row>
    <row r="14" spans="1:8" x14ac:dyDescent="0.25">
      <c r="A14" s="3" t="s">
        <v>21</v>
      </c>
      <c r="B14" s="4"/>
      <c r="C14" s="4">
        <v>100</v>
      </c>
      <c r="D14" s="4" t="str">
        <f t="shared" si="0"/>
        <v/>
      </c>
      <c r="E14" s="4"/>
      <c r="F14" s="4">
        <v>100</v>
      </c>
      <c r="G14" s="4"/>
    </row>
    <row r="15" spans="1:8" x14ac:dyDescent="0.25">
      <c r="A15" s="3" t="s">
        <v>22</v>
      </c>
      <c r="B15" s="4">
        <v>486</v>
      </c>
      <c r="C15" s="4">
        <v>300</v>
      </c>
      <c r="D15" s="4">
        <f t="shared" si="0"/>
        <v>186</v>
      </c>
      <c r="E15" s="4">
        <v>300</v>
      </c>
      <c r="F15" s="4"/>
      <c r="G15" s="4"/>
    </row>
    <row r="16" spans="1:8" x14ac:dyDescent="0.25">
      <c r="A16" s="3" t="s">
        <v>23</v>
      </c>
      <c r="B16" s="4">
        <v>96</v>
      </c>
      <c r="C16" s="4">
        <v>96</v>
      </c>
      <c r="D16" s="4">
        <f t="shared" si="0"/>
        <v>0</v>
      </c>
      <c r="E16" s="4">
        <v>96</v>
      </c>
      <c r="F16" s="4"/>
      <c r="G16" s="4"/>
    </row>
    <row r="17" spans="1:7" x14ac:dyDescent="0.25">
      <c r="A17" s="3"/>
      <c r="B17" s="4"/>
      <c r="C17" s="4"/>
      <c r="D17" s="4" t="str">
        <f t="shared" si="0"/>
        <v/>
      </c>
      <c r="E17" s="4"/>
      <c r="F17" s="4"/>
      <c r="G17" s="4"/>
    </row>
    <row r="18" spans="1:7" x14ac:dyDescent="0.25">
      <c r="A18" s="3"/>
      <c r="B18" s="4"/>
      <c r="C18" s="4"/>
      <c r="D18" s="4" t="str">
        <f t="shared" si="0"/>
        <v/>
      </c>
      <c r="E18" s="4"/>
      <c r="F18" s="4"/>
      <c r="G18" s="4"/>
    </row>
    <row r="19" spans="1:7" x14ac:dyDescent="0.25">
      <c r="A19" s="5" t="s">
        <v>8</v>
      </c>
      <c r="B19" s="6"/>
      <c r="C19" s="6">
        <f>SUM(C4:C18)</f>
        <v>1810</v>
      </c>
      <c r="D19" s="6"/>
      <c r="E19" s="6">
        <f>SUM(E4:E18)</f>
        <v>1181</v>
      </c>
      <c r="F19" s="6">
        <f>SUM(F4:F18)</f>
        <v>629</v>
      </c>
      <c r="G19" s="6">
        <f>SUM(G4:G18)</f>
        <v>361</v>
      </c>
    </row>
    <row r="21" spans="1:7" ht="18.75" x14ac:dyDescent="0.4">
      <c r="B21" s="8" t="s">
        <v>26</v>
      </c>
      <c r="C21" s="7"/>
      <c r="D21" s="7"/>
      <c r="E21" s="9">
        <v>268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160" zoomScaleNormal="160" workbookViewId="0">
      <selection activeCell="F22" sqref="F22"/>
    </sheetView>
  </sheetViews>
  <sheetFormatPr baseColWidth="10" defaultRowHeight="15" x14ac:dyDescent="0.25"/>
  <sheetData>
    <row r="1" spans="1:10" ht="18.75" x14ac:dyDescent="0.3">
      <c r="A1" s="1" t="s">
        <v>27</v>
      </c>
    </row>
    <row r="3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10" x14ac:dyDescent="0.25">
      <c r="A4" s="3" t="s">
        <v>28</v>
      </c>
      <c r="B4" s="4">
        <v>15</v>
      </c>
      <c r="C4" s="4">
        <v>15</v>
      </c>
      <c r="D4" s="4"/>
      <c r="E4" s="4">
        <v>15</v>
      </c>
      <c r="F4" s="4"/>
      <c r="G4" s="4">
        <v>500</v>
      </c>
      <c r="H4" t="s">
        <v>39</v>
      </c>
    </row>
    <row r="5" spans="1:10" x14ac:dyDescent="0.25">
      <c r="A5" s="3" t="s">
        <v>29</v>
      </c>
      <c r="B5" s="4">
        <v>30</v>
      </c>
      <c r="C5" s="4">
        <v>30</v>
      </c>
      <c r="D5" s="4"/>
      <c r="E5" s="4">
        <v>30</v>
      </c>
      <c r="F5" s="4"/>
      <c r="G5" s="4"/>
    </row>
    <row r="6" spans="1:10" x14ac:dyDescent="0.25">
      <c r="A6" s="3" t="s">
        <v>30</v>
      </c>
      <c r="B6" s="4"/>
      <c r="C6" s="4">
        <v>294.5</v>
      </c>
      <c r="D6" s="4"/>
      <c r="E6" s="4"/>
      <c r="F6" s="4">
        <v>294.5</v>
      </c>
      <c r="G6" s="4"/>
    </row>
    <row r="7" spans="1:10" x14ac:dyDescent="0.25">
      <c r="A7" s="3" t="s">
        <v>31</v>
      </c>
      <c r="B7" s="4">
        <v>220</v>
      </c>
      <c r="C7" s="4">
        <v>200</v>
      </c>
      <c r="D7" s="4">
        <v>20</v>
      </c>
      <c r="E7" s="4"/>
      <c r="F7" s="4">
        <v>200</v>
      </c>
      <c r="G7" s="4"/>
    </row>
    <row r="8" spans="1:10" x14ac:dyDescent="0.25">
      <c r="A8" s="3" t="s">
        <v>32</v>
      </c>
      <c r="B8" s="4">
        <v>3300</v>
      </c>
      <c r="C8" s="4">
        <v>2000</v>
      </c>
      <c r="D8" s="4">
        <v>1300</v>
      </c>
      <c r="E8" s="4">
        <v>2000</v>
      </c>
      <c r="F8" s="4"/>
      <c r="G8" s="4"/>
      <c r="J8" s="10"/>
    </row>
    <row r="9" spans="1:10" x14ac:dyDescent="0.25">
      <c r="A9" s="3" t="s">
        <v>33</v>
      </c>
      <c r="B9" s="4"/>
      <c r="C9" s="4">
        <v>300</v>
      </c>
      <c r="D9" s="4"/>
      <c r="E9" s="4">
        <v>300</v>
      </c>
      <c r="F9" s="4"/>
      <c r="G9" s="4"/>
    </row>
    <row r="10" spans="1:10" x14ac:dyDescent="0.25">
      <c r="A10" s="3" t="s">
        <v>34</v>
      </c>
      <c r="B10" s="4">
        <v>40</v>
      </c>
      <c r="C10" s="4">
        <v>25</v>
      </c>
      <c r="D10" s="4">
        <v>25</v>
      </c>
      <c r="E10" s="4">
        <v>25</v>
      </c>
      <c r="F10" s="4"/>
      <c r="G10" s="4"/>
    </row>
    <row r="11" spans="1:10" x14ac:dyDescent="0.25">
      <c r="A11" s="3" t="s">
        <v>35</v>
      </c>
      <c r="B11" s="4">
        <v>60</v>
      </c>
      <c r="C11" s="4">
        <v>60</v>
      </c>
      <c r="D11" s="4"/>
      <c r="E11" s="4">
        <v>60</v>
      </c>
      <c r="F11" s="4"/>
      <c r="G11" s="4"/>
    </row>
    <row r="12" spans="1:10" x14ac:dyDescent="0.25">
      <c r="A12" s="3" t="s">
        <v>36</v>
      </c>
      <c r="B12" s="4">
        <v>335</v>
      </c>
      <c r="C12" s="4">
        <v>335</v>
      </c>
      <c r="D12" s="4"/>
      <c r="E12" s="4">
        <v>335</v>
      </c>
      <c r="F12" s="4"/>
      <c r="G12" s="4"/>
      <c r="J12" s="11"/>
    </row>
    <row r="13" spans="1:10" x14ac:dyDescent="0.25">
      <c r="A13" s="3" t="s">
        <v>37</v>
      </c>
      <c r="B13" s="4">
        <v>200</v>
      </c>
      <c r="C13" s="4">
        <v>200</v>
      </c>
      <c r="D13" s="4"/>
      <c r="E13" s="4"/>
      <c r="F13" s="4">
        <v>200</v>
      </c>
      <c r="G13" s="4"/>
    </row>
    <row r="14" spans="1:10" x14ac:dyDescent="0.25">
      <c r="A14" s="3" t="s">
        <v>38</v>
      </c>
      <c r="B14" s="4">
        <v>400</v>
      </c>
      <c r="C14" s="4">
        <v>400</v>
      </c>
      <c r="D14" s="4"/>
      <c r="E14" s="4"/>
      <c r="F14" s="4">
        <v>400</v>
      </c>
      <c r="G14" s="4"/>
    </row>
    <row r="15" spans="1:10" x14ac:dyDescent="0.25">
      <c r="A15" s="3" t="s">
        <v>40</v>
      </c>
      <c r="B15" s="4">
        <v>140</v>
      </c>
      <c r="C15" s="4">
        <v>100</v>
      </c>
      <c r="D15" s="4">
        <v>40</v>
      </c>
      <c r="E15" s="4"/>
      <c r="F15" s="4">
        <v>100</v>
      </c>
      <c r="G15" s="4"/>
    </row>
    <row r="16" spans="1:10" x14ac:dyDescent="0.25">
      <c r="A16" s="3" t="s">
        <v>41</v>
      </c>
      <c r="B16" s="4">
        <v>750</v>
      </c>
      <c r="C16" s="4">
        <v>500</v>
      </c>
      <c r="D16" s="4">
        <v>250</v>
      </c>
      <c r="E16" s="4">
        <v>500</v>
      </c>
      <c r="F16" s="4"/>
      <c r="G16" s="4"/>
    </row>
    <row r="17" spans="1:7" x14ac:dyDescent="0.25">
      <c r="A17" s="3" t="s">
        <v>34</v>
      </c>
      <c r="B17" s="4">
        <v>80</v>
      </c>
      <c r="C17" s="4">
        <v>80</v>
      </c>
      <c r="D17" s="4"/>
      <c r="E17" s="4">
        <v>80</v>
      </c>
      <c r="F17" s="4"/>
      <c r="G17" s="4"/>
    </row>
    <row r="18" spans="1:7" x14ac:dyDescent="0.25">
      <c r="A18" s="3"/>
      <c r="B18" s="4"/>
      <c r="C18" s="4"/>
      <c r="D18" s="4" t="str">
        <f t="shared" ref="D18" si="0">IF(B18="","",B18-C18)</f>
        <v/>
      </c>
      <c r="E18" s="4"/>
      <c r="F18" s="4"/>
      <c r="G18" s="4"/>
    </row>
    <row r="19" spans="1:7" x14ac:dyDescent="0.25">
      <c r="A19" s="5" t="s">
        <v>8</v>
      </c>
      <c r="B19" s="6"/>
      <c r="C19" s="6">
        <f>SUM(C4:C18)</f>
        <v>4539.5</v>
      </c>
      <c r="D19" s="6"/>
      <c r="E19" s="6">
        <f>SUM(E4:E18)</f>
        <v>3345</v>
      </c>
      <c r="F19" s="6">
        <f>SUM(F4:F18)</f>
        <v>1194.5</v>
      </c>
      <c r="G19" s="6">
        <f>SUM(G4:G18)</f>
        <v>500</v>
      </c>
    </row>
    <row r="21" spans="1:7" ht="18.75" x14ac:dyDescent="0.4">
      <c r="B21" s="8" t="s">
        <v>42</v>
      </c>
      <c r="C21" s="7"/>
      <c r="D21" s="7"/>
      <c r="E21" s="9">
        <v>694.5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160" zoomScaleNormal="160" workbookViewId="0">
      <pane ySplit="3" topLeftCell="A4" activePane="bottomLeft" state="frozen"/>
      <selection pane="bottomLeft" activeCell="F16" sqref="F16"/>
    </sheetView>
  </sheetViews>
  <sheetFormatPr baseColWidth="10" defaultColWidth="9.140625" defaultRowHeight="15" x14ac:dyDescent="0.25"/>
  <cols>
    <col min="1" max="1" width="20" customWidth="1"/>
    <col min="2" max="2" width="12" customWidth="1"/>
    <col min="3" max="3" width="13" customWidth="1"/>
    <col min="4" max="7" width="12" customWidth="1"/>
  </cols>
  <sheetData>
    <row r="1" spans="1:8" ht="18.75" x14ac:dyDescent="0.3">
      <c r="A1" s="1" t="s">
        <v>0</v>
      </c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8" x14ac:dyDescent="0.25">
      <c r="A4" s="3" t="s">
        <v>34</v>
      </c>
      <c r="B4" s="4"/>
      <c r="C4" s="4">
        <v>25</v>
      </c>
      <c r="D4" s="4" t="str">
        <f t="shared" ref="D4:D18" si="0">IF(B4="","",B4-C4)</f>
        <v/>
      </c>
      <c r="E4" s="4">
        <v>25</v>
      </c>
      <c r="F4" s="4"/>
      <c r="G4" s="4">
        <v>3.8</v>
      </c>
      <c r="H4" t="s">
        <v>49</v>
      </c>
    </row>
    <row r="5" spans="1:8" x14ac:dyDescent="0.25">
      <c r="A5" s="3" t="s">
        <v>20</v>
      </c>
      <c r="B5" s="4">
        <v>35</v>
      </c>
      <c r="C5" s="4">
        <v>35</v>
      </c>
      <c r="D5" s="4"/>
      <c r="E5" s="4"/>
      <c r="F5" s="4">
        <v>35</v>
      </c>
      <c r="G5" s="4"/>
    </row>
    <row r="6" spans="1:8" x14ac:dyDescent="0.25">
      <c r="A6" s="3"/>
      <c r="B6" s="4"/>
      <c r="C6" s="4"/>
      <c r="D6" s="4" t="str">
        <f>IF(B6="","",B6-C6)</f>
        <v/>
      </c>
      <c r="E6" s="4"/>
      <c r="F6" s="4"/>
      <c r="G6" s="4"/>
    </row>
    <row r="7" spans="1:8" x14ac:dyDescent="0.25">
      <c r="A7" s="3" t="s">
        <v>43</v>
      </c>
      <c r="B7" s="4">
        <v>200</v>
      </c>
      <c r="C7" s="4">
        <v>200</v>
      </c>
      <c r="D7" s="4">
        <f t="shared" si="0"/>
        <v>0</v>
      </c>
      <c r="E7" s="4">
        <v>200</v>
      </c>
      <c r="F7" s="4"/>
      <c r="G7" s="4"/>
    </row>
    <row r="8" spans="1:8" x14ac:dyDescent="0.25">
      <c r="A8" s="3" t="s">
        <v>34</v>
      </c>
      <c r="B8" s="4"/>
      <c r="C8" s="4">
        <v>20</v>
      </c>
      <c r="D8" s="4" t="str">
        <f t="shared" si="0"/>
        <v/>
      </c>
      <c r="E8" s="4"/>
      <c r="F8" s="4">
        <v>20</v>
      </c>
      <c r="G8" s="4"/>
    </row>
    <row r="9" spans="1:8" x14ac:dyDescent="0.25">
      <c r="A9" s="3" t="s">
        <v>44</v>
      </c>
      <c r="B9" s="4">
        <v>40</v>
      </c>
      <c r="C9" s="4">
        <v>40</v>
      </c>
      <c r="D9" s="4">
        <f t="shared" si="0"/>
        <v>0</v>
      </c>
      <c r="E9" s="4">
        <v>40</v>
      </c>
      <c r="F9" s="4"/>
      <c r="G9" s="4"/>
    </row>
    <row r="10" spans="1:8" x14ac:dyDescent="0.25">
      <c r="A10" s="3" t="s">
        <v>34</v>
      </c>
      <c r="B10" s="4">
        <v>72</v>
      </c>
      <c r="C10" s="4">
        <v>72</v>
      </c>
      <c r="D10" s="4">
        <f>IF(B10="","",B10-C10)</f>
        <v>0</v>
      </c>
      <c r="E10" s="4"/>
      <c r="F10" s="4">
        <v>72</v>
      </c>
      <c r="G10" s="4"/>
    </row>
    <row r="11" spans="1:8" x14ac:dyDescent="0.25">
      <c r="A11" s="3" t="s">
        <v>34</v>
      </c>
      <c r="B11" s="4">
        <v>2685</v>
      </c>
      <c r="C11" s="4">
        <v>500</v>
      </c>
      <c r="D11" s="4">
        <f t="shared" si="0"/>
        <v>2185</v>
      </c>
      <c r="E11" s="4">
        <v>500</v>
      </c>
      <c r="F11" s="4"/>
      <c r="G11" s="4"/>
    </row>
    <row r="12" spans="1:8" x14ac:dyDescent="0.25">
      <c r="A12" s="3" t="s">
        <v>45</v>
      </c>
      <c r="B12" s="4">
        <v>900</v>
      </c>
      <c r="C12" s="4">
        <v>100</v>
      </c>
      <c r="D12" s="4">
        <f t="shared" si="0"/>
        <v>800</v>
      </c>
      <c r="E12" s="4"/>
      <c r="F12" s="4">
        <v>100</v>
      </c>
      <c r="G12" s="4"/>
    </row>
    <row r="13" spans="1:8" x14ac:dyDescent="0.25">
      <c r="A13" s="3" t="s">
        <v>40</v>
      </c>
      <c r="B13" s="4"/>
      <c r="C13" s="4">
        <v>40</v>
      </c>
      <c r="D13" s="4" t="str">
        <f t="shared" si="0"/>
        <v/>
      </c>
      <c r="E13" s="4"/>
      <c r="F13" s="4">
        <v>40</v>
      </c>
      <c r="G13" s="4"/>
    </row>
    <row r="14" spans="1:8" x14ac:dyDescent="0.25">
      <c r="A14" s="3" t="s">
        <v>46</v>
      </c>
      <c r="B14" s="4">
        <v>360</v>
      </c>
      <c r="C14" s="4">
        <v>150</v>
      </c>
      <c r="D14" s="4">
        <f t="shared" si="0"/>
        <v>210</v>
      </c>
      <c r="E14" s="4"/>
      <c r="F14" s="4">
        <v>150</v>
      </c>
      <c r="G14" s="4"/>
    </row>
    <row r="15" spans="1:8" x14ac:dyDescent="0.25">
      <c r="A15" s="3" t="s">
        <v>34</v>
      </c>
      <c r="B15" s="4">
        <v>428</v>
      </c>
      <c r="C15" s="4">
        <v>250</v>
      </c>
      <c r="D15" s="4">
        <f t="shared" si="0"/>
        <v>178</v>
      </c>
      <c r="E15" s="4">
        <v>250</v>
      </c>
      <c r="F15" s="4"/>
      <c r="G15" s="4"/>
    </row>
    <row r="16" spans="1:8" x14ac:dyDescent="0.25">
      <c r="A16" s="3" t="s">
        <v>47</v>
      </c>
      <c r="B16" s="4">
        <v>891</v>
      </c>
      <c r="C16" s="4">
        <v>391</v>
      </c>
      <c r="D16" s="4">
        <f t="shared" si="0"/>
        <v>500</v>
      </c>
      <c r="E16" s="4">
        <v>391</v>
      </c>
      <c r="F16" s="4"/>
      <c r="G16" s="4"/>
    </row>
    <row r="17" spans="1:7" x14ac:dyDescent="0.25">
      <c r="A17" s="3" t="s">
        <v>48</v>
      </c>
      <c r="B17" s="4">
        <v>8</v>
      </c>
      <c r="C17" s="4">
        <v>8</v>
      </c>
      <c r="D17" s="4">
        <f t="shared" si="0"/>
        <v>0</v>
      </c>
      <c r="E17" s="4"/>
      <c r="F17" s="4">
        <v>8</v>
      </c>
      <c r="G17" s="4"/>
    </row>
    <row r="18" spans="1:7" x14ac:dyDescent="0.25">
      <c r="A18" s="3"/>
      <c r="B18" s="4"/>
      <c r="C18" s="4"/>
      <c r="D18" s="4" t="str">
        <f t="shared" si="0"/>
        <v/>
      </c>
      <c r="E18" s="4"/>
      <c r="F18" s="4"/>
      <c r="G18" s="4"/>
    </row>
    <row r="19" spans="1:7" x14ac:dyDescent="0.25">
      <c r="A19" s="5" t="s">
        <v>8</v>
      </c>
      <c r="B19" s="6"/>
      <c r="C19" s="6">
        <f>SUM(C4:C18)</f>
        <v>1831</v>
      </c>
      <c r="D19" s="6"/>
      <c r="E19" s="6">
        <f>SUM(E4:E18)</f>
        <v>1406</v>
      </c>
      <c r="F19" s="6">
        <f>SUM(F4:F18)</f>
        <v>425</v>
      </c>
      <c r="G19" s="6">
        <f>SUM(G4:G18)</f>
        <v>3.8</v>
      </c>
    </row>
    <row r="21" spans="1:7" ht="18.75" x14ac:dyDescent="0.4">
      <c r="B21" s="8" t="s">
        <v>26</v>
      </c>
      <c r="C21" s="7"/>
      <c r="D21" s="7"/>
      <c r="E21" s="9">
        <v>421.2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160" zoomScaleNormal="160" workbookViewId="0">
      <pane ySplit="3" topLeftCell="A4" activePane="bottomLeft" state="frozen"/>
      <selection pane="bottomLeft" activeCell="I17" sqref="I17"/>
    </sheetView>
  </sheetViews>
  <sheetFormatPr baseColWidth="10" defaultColWidth="9.140625" defaultRowHeight="15" x14ac:dyDescent="0.25"/>
  <cols>
    <col min="1" max="1" width="20" customWidth="1"/>
    <col min="2" max="2" width="12" customWidth="1"/>
    <col min="3" max="3" width="13" customWidth="1"/>
    <col min="4" max="7" width="12" customWidth="1"/>
  </cols>
  <sheetData>
    <row r="1" spans="1:8" ht="18.75" x14ac:dyDescent="0.3">
      <c r="A1" s="1" t="s">
        <v>63</v>
      </c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8" x14ac:dyDescent="0.25">
      <c r="A4" s="3" t="s">
        <v>50</v>
      </c>
      <c r="B4" s="4"/>
      <c r="C4" s="4">
        <v>60</v>
      </c>
      <c r="D4" s="4" t="str">
        <f t="shared" ref="D4" si="0">IF(B4="","",B4-C4)</f>
        <v/>
      </c>
      <c r="E4" s="4">
        <v>60</v>
      </c>
      <c r="F4" s="4"/>
      <c r="G4" s="4">
        <v>5</v>
      </c>
      <c r="H4" t="s">
        <v>59</v>
      </c>
    </row>
    <row r="5" spans="1:8" x14ac:dyDescent="0.25">
      <c r="A5" s="3" t="s">
        <v>51</v>
      </c>
      <c r="B5" s="4"/>
      <c r="C5" s="4">
        <v>900</v>
      </c>
      <c r="D5" s="4"/>
      <c r="E5" s="4"/>
      <c r="F5" s="4">
        <v>900</v>
      </c>
      <c r="G5" s="4"/>
    </row>
    <row r="6" spans="1:8" x14ac:dyDescent="0.25">
      <c r="A6" s="3" t="s">
        <v>52</v>
      </c>
      <c r="B6" s="4">
        <v>25</v>
      </c>
      <c r="C6" s="4">
        <v>25</v>
      </c>
      <c r="D6" s="4">
        <f>IF(B6="","",B6-C6)</f>
        <v>0</v>
      </c>
      <c r="E6" s="4">
        <v>25</v>
      </c>
      <c r="F6" s="4"/>
      <c r="G6" s="4"/>
    </row>
    <row r="7" spans="1:8" x14ac:dyDescent="0.25">
      <c r="A7" s="3" t="s">
        <v>53</v>
      </c>
      <c r="B7" s="4"/>
      <c r="C7" s="4">
        <v>500</v>
      </c>
      <c r="D7" s="4"/>
      <c r="E7" s="4"/>
      <c r="F7" s="4">
        <v>500</v>
      </c>
      <c r="G7" s="4"/>
    </row>
    <row r="8" spans="1:8" x14ac:dyDescent="0.25">
      <c r="A8" s="3" t="s">
        <v>55</v>
      </c>
      <c r="B8" s="4">
        <v>330</v>
      </c>
      <c r="C8" s="4">
        <v>250</v>
      </c>
      <c r="D8" s="4">
        <v>80</v>
      </c>
      <c r="E8" s="4">
        <v>250</v>
      </c>
      <c r="F8" s="4"/>
      <c r="G8" s="4"/>
    </row>
    <row r="9" spans="1:8" x14ac:dyDescent="0.25">
      <c r="A9" s="3" t="s">
        <v>54</v>
      </c>
      <c r="B9" s="4">
        <v>2041</v>
      </c>
      <c r="C9" s="4">
        <v>500</v>
      </c>
      <c r="D9" s="4">
        <f>IF(B9="","",B9-C9)</f>
        <v>1541</v>
      </c>
      <c r="E9" s="4">
        <v>500</v>
      </c>
      <c r="F9" s="4"/>
      <c r="G9" s="4"/>
    </row>
    <row r="10" spans="1:8" x14ac:dyDescent="0.25">
      <c r="A10" s="3" t="s">
        <v>56</v>
      </c>
      <c r="B10" s="4">
        <v>1050</v>
      </c>
      <c r="C10" s="4">
        <v>500</v>
      </c>
      <c r="D10" s="4">
        <f>IF(B10="","",B10-C10)</f>
        <v>550</v>
      </c>
      <c r="E10" s="4">
        <v>500</v>
      </c>
      <c r="F10" s="4"/>
      <c r="G10" s="4"/>
    </row>
    <row r="11" spans="1:8" x14ac:dyDescent="0.25">
      <c r="A11" s="3" t="s">
        <v>57</v>
      </c>
      <c r="B11" s="4"/>
      <c r="C11" s="4">
        <v>178</v>
      </c>
      <c r="D11" s="4"/>
      <c r="E11" s="4">
        <v>178</v>
      </c>
      <c r="F11" s="4"/>
      <c r="G11" s="4"/>
    </row>
    <row r="12" spans="1:8" x14ac:dyDescent="0.25">
      <c r="A12" s="3" t="s">
        <v>15</v>
      </c>
      <c r="B12" s="4">
        <v>130</v>
      </c>
      <c r="C12" s="4">
        <v>100</v>
      </c>
      <c r="D12" s="4">
        <f t="shared" ref="D12:D18" si="1">IF(B12="","",B12-C12)</f>
        <v>30</v>
      </c>
      <c r="E12" s="4"/>
      <c r="F12" s="4">
        <v>100</v>
      </c>
      <c r="G12" s="4"/>
    </row>
    <row r="13" spans="1:8" x14ac:dyDescent="0.25">
      <c r="A13" s="3" t="s">
        <v>58</v>
      </c>
      <c r="B13" s="4">
        <v>25</v>
      </c>
      <c r="C13" s="4">
        <v>25</v>
      </c>
      <c r="D13" s="4">
        <f t="shared" si="1"/>
        <v>0</v>
      </c>
      <c r="E13" s="4"/>
      <c r="F13" s="4">
        <v>25</v>
      </c>
      <c r="G13" s="4"/>
    </row>
    <row r="14" spans="1:8" x14ac:dyDescent="0.25">
      <c r="A14" s="3" t="s">
        <v>60</v>
      </c>
      <c r="B14" s="4">
        <v>15</v>
      </c>
      <c r="C14" s="4">
        <v>15</v>
      </c>
      <c r="D14" s="4">
        <f t="shared" si="1"/>
        <v>0</v>
      </c>
      <c r="E14" s="4">
        <v>15</v>
      </c>
      <c r="F14" s="4"/>
      <c r="G14" s="4"/>
    </row>
    <row r="15" spans="1:8" x14ac:dyDescent="0.25">
      <c r="A15" s="3" t="s">
        <v>61</v>
      </c>
      <c r="B15" s="4">
        <v>92</v>
      </c>
      <c r="C15" s="4">
        <v>92</v>
      </c>
      <c r="D15" s="4">
        <f t="shared" si="1"/>
        <v>0</v>
      </c>
      <c r="E15" s="4">
        <v>92</v>
      </c>
      <c r="F15" s="4"/>
      <c r="G15" s="4"/>
    </row>
    <row r="16" spans="1:8" x14ac:dyDescent="0.25">
      <c r="A16" s="3" t="s">
        <v>62</v>
      </c>
      <c r="B16" s="4">
        <v>50</v>
      </c>
      <c r="C16" s="4">
        <v>50</v>
      </c>
      <c r="D16" s="4">
        <f t="shared" si="1"/>
        <v>0</v>
      </c>
      <c r="E16" s="4"/>
      <c r="F16" s="4">
        <v>50</v>
      </c>
      <c r="G16" s="4"/>
    </row>
    <row r="17" spans="1:7" x14ac:dyDescent="0.25">
      <c r="A17" s="3"/>
      <c r="B17" s="4"/>
      <c r="C17" s="4"/>
      <c r="D17" s="4" t="str">
        <f t="shared" si="1"/>
        <v/>
      </c>
      <c r="E17" s="4"/>
      <c r="F17" s="4"/>
      <c r="G17" s="4"/>
    </row>
    <row r="18" spans="1:7" x14ac:dyDescent="0.25">
      <c r="A18" s="3"/>
      <c r="B18" s="4"/>
      <c r="C18" s="4"/>
      <c r="D18" s="4" t="str">
        <f t="shared" si="1"/>
        <v/>
      </c>
      <c r="E18" s="4"/>
      <c r="F18" s="4"/>
      <c r="G18" s="4"/>
    </row>
    <row r="19" spans="1:7" x14ac:dyDescent="0.25">
      <c r="A19" s="5" t="s">
        <v>8</v>
      </c>
      <c r="B19" s="6"/>
      <c r="C19" s="6">
        <f>SUM(C4:C18)</f>
        <v>3195</v>
      </c>
      <c r="D19" s="6"/>
      <c r="E19" s="6">
        <f>SUM(E4:E18)</f>
        <v>1620</v>
      </c>
      <c r="F19" s="6">
        <f>SUM(F4:F18)</f>
        <v>1575</v>
      </c>
      <c r="G19" s="6">
        <f>SUM(G4:G18)</f>
        <v>5</v>
      </c>
    </row>
    <row r="21" spans="1:7" ht="18.75" x14ac:dyDescent="0.4">
      <c r="B21" s="8" t="s">
        <v>26</v>
      </c>
      <c r="C21" s="7"/>
      <c r="D21" s="7"/>
      <c r="E21" s="9">
        <v>1570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zoomScale="160" zoomScaleNormal="160" workbookViewId="0">
      <pane ySplit="3" topLeftCell="A4" activePane="bottomLeft" state="frozen"/>
      <selection pane="bottomLeft" activeCell="D23" sqref="D23"/>
    </sheetView>
  </sheetViews>
  <sheetFormatPr baseColWidth="10" defaultColWidth="9.140625" defaultRowHeight="15" x14ac:dyDescent="0.25"/>
  <cols>
    <col min="1" max="1" width="20" customWidth="1"/>
    <col min="2" max="2" width="12" customWidth="1"/>
    <col min="3" max="3" width="13" customWidth="1"/>
    <col min="4" max="7" width="12" customWidth="1"/>
  </cols>
  <sheetData>
    <row r="1" spans="1:7" ht="18.75" x14ac:dyDescent="0.3">
      <c r="A1" s="1" t="s">
        <v>66</v>
      </c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 t="s">
        <v>20</v>
      </c>
      <c r="B4" s="4">
        <v>40</v>
      </c>
      <c r="C4" s="4">
        <v>35</v>
      </c>
      <c r="D4" s="4">
        <f t="shared" ref="D4" si="0">IF(B4="","",B4-C4)</f>
        <v>5</v>
      </c>
      <c r="E4" s="4">
        <v>35</v>
      </c>
      <c r="F4" s="4"/>
      <c r="G4" s="4"/>
    </row>
    <row r="5" spans="1:7" x14ac:dyDescent="0.25">
      <c r="A5" s="3" t="s">
        <v>34</v>
      </c>
      <c r="B5" s="4">
        <v>135</v>
      </c>
      <c r="C5" s="4">
        <v>135</v>
      </c>
      <c r="D5" s="4">
        <f t="shared" ref="D5:D18" si="1">IF(B5="","",B5-C5)</f>
        <v>0</v>
      </c>
      <c r="E5" s="4"/>
      <c r="F5" s="4">
        <v>135</v>
      </c>
      <c r="G5" s="4"/>
    </row>
    <row r="6" spans="1:7" x14ac:dyDescent="0.25">
      <c r="A6" s="3" t="s">
        <v>64</v>
      </c>
      <c r="B6" s="4">
        <v>3</v>
      </c>
      <c r="C6" s="4">
        <v>3</v>
      </c>
      <c r="D6" s="4">
        <f t="shared" si="1"/>
        <v>0</v>
      </c>
      <c r="E6" s="4"/>
      <c r="F6" s="4">
        <v>3</v>
      </c>
      <c r="G6" s="4"/>
    </row>
    <row r="7" spans="1:7" x14ac:dyDescent="0.25">
      <c r="A7" s="3" t="s">
        <v>65</v>
      </c>
      <c r="B7" s="4">
        <v>15</v>
      </c>
      <c r="C7" s="4">
        <v>15</v>
      </c>
      <c r="D7" s="4">
        <f t="shared" si="1"/>
        <v>0</v>
      </c>
      <c r="E7" s="4">
        <v>15</v>
      </c>
      <c r="F7" s="4"/>
      <c r="G7" s="4"/>
    </row>
    <row r="8" spans="1:7" x14ac:dyDescent="0.25">
      <c r="A8" s="3" t="s">
        <v>67</v>
      </c>
      <c r="B8" s="4"/>
      <c r="C8" s="4">
        <v>500</v>
      </c>
      <c r="D8" s="4">
        <v>0</v>
      </c>
      <c r="E8" s="4"/>
      <c r="F8" s="4">
        <v>500</v>
      </c>
      <c r="G8" s="4"/>
    </row>
    <row r="9" spans="1:7" x14ac:dyDescent="0.25">
      <c r="A9" s="3" t="s">
        <v>40</v>
      </c>
      <c r="B9" s="4">
        <v>100</v>
      </c>
      <c r="C9" s="4">
        <v>100</v>
      </c>
      <c r="D9" s="4">
        <f t="shared" si="1"/>
        <v>0</v>
      </c>
      <c r="E9" s="4">
        <v>100</v>
      </c>
      <c r="F9" s="4"/>
      <c r="G9" s="4"/>
    </row>
    <row r="10" spans="1:7" x14ac:dyDescent="0.25">
      <c r="A10" s="3" t="s">
        <v>68</v>
      </c>
      <c r="B10" s="4">
        <v>56</v>
      </c>
      <c r="C10" s="4">
        <v>56</v>
      </c>
      <c r="D10" s="4">
        <f t="shared" si="1"/>
        <v>0</v>
      </c>
      <c r="E10" s="4"/>
      <c r="F10" s="4">
        <v>56</v>
      </c>
      <c r="G10" s="4"/>
    </row>
    <row r="11" spans="1:7" x14ac:dyDescent="0.25">
      <c r="A11" s="3" t="s">
        <v>69</v>
      </c>
      <c r="B11" s="4"/>
      <c r="C11" s="4">
        <v>1300</v>
      </c>
      <c r="D11" s="4" t="str">
        <f t="shared" si="1"/>
        <v/>
      </c>
      <c r="E11" s="4"/>
      <c r="F11" s="4">
        <v>1300</v>
      </c>
      <c r="G11" s="4"/>
    </row>
    <row r="12" spans="1:7" x14ac:dyDescent="0.25">
      <c r="A12" s="3" t="s">
        <v>70</v>
      </c>
      <c r="B12" s="4">
        <v>45</v>
      </c>
      <c r="C12" s="4">
        <v>20</v>
      </c>
      <c r="D12" s="4">
        <f t="shared" si="1"/>
        <v>25</v>
      </c>
      <c r="E12" s="4"/>
      <c r="F12" s="4">
        <v>20</v>
      </c>
      <c r="G12" s="4"/>
    </row>
    <row r="13" spans="1:7" x14ac:dyDescent="0.25">
      <c r="A13" s="3" t="s">
        <v>71</v>
      </c>
      <c r="B13" s="4">
        <v>20</v>
      </c>
      <c r="C13" s="4">
        <v>20</v>
      </c>
      <c r="D13" s="4">
        <f t="shared" si="1"/>
        <v>0</v>
      </c>
      <c r="E13" s="4"/>
      <c r="F13" s="4">
        <v>20</v>
      </c>
      <c r="G13" s="4"/>
    </row>
    <row r="14" spans="1:7" x14ac:dyDescent="0.25">
      <c r="A14" s="3" t="s">
        <v>15</v>
      </c>
      <c r="B14" s="4">
        <v>35</v>
      </c>
      <c r="C14" s="4">
        <v>35</v>
      </c>
      <c r="D14" s="4">
        <f t="shared" si="1"/>
        <v>0</v>
      </c>
      <c r="E14" s="4">
        <v>35</v>
      </c>
      <c r="F14" s="4"/>
      <c r="G14" s="4"/>
    </row>
    <row r="15" spans="1:7" x14ac:dyDescent="0.25">
      <c r="A15" s="3" t="s">
        <v>72</v>
      </c>
      <c r="B15" s="4"/>
      <c r="C15" s="4">
        <v>5</v>
      </c>
      <c r="D15" s="4" t="str">
        <f t="shared" si="1"/>
        <v/>
      </c>
      <c r="E15" s="4"/>
      <c r="F15" s="4">
        <v>5</v>
      </c>
      <c r="G15" s="4"/>
    </row>
    <row r="16" spans="1:7" x14ac:dyDescent="0.25">
      <c r="A16" s="3" t="s">
        <v>73</v>
      </c>
      <c r="B16" s="4">
        <v>90</v>
      </c>
      <c r="C16" s="4">
        <v>45</v>
      </c>
      <c r="D16" s="4">
        <f t="shared" si="1"/>
        <v>45</v>
      </c>
      <c r="E16" s="4"/>
      <c r="F16" s="4">
        <v>45</v>
      </c>
      <c r="G16" s="4"/>
    </row>
    <row r="17" spans="1:7" x14ac:dyDescent="0.25">
      <c r="A17" s="3"/>
      <c r="B17" s="4"/>
      <c r="C17" s="4"/>
      <c r="D17" s="4" t="str">
        <f t="shared" si="1"/>
        <v/>
      </c>
      <c r="E17" s="4"/>
      <c r="F17" s="4"/>
      <c r="G17" s="4"/>
    </row>
    <row r="18" spans="1:7" x14ac:dyDescent="0.25">
      <c r="A18" s="3"/>
      <c r="B18" s="4"/>
      <c r="C18" s="4"/>
      <c r="D18" s="4" t="str">
        <f t="shared" si="1"/>
        <v/>
      </c>
      <c r="E18" s="4"/>
      <c r="F18" s="4"/>
      <c r="G18" s="4"/>
    </row>
    <row r="19" spans="1:7" x14ac:dyDescent="0.25">
      <c r="A19" s="5" t="s">
        <v>8</v>
      </c>
      <c r="B19" s="6"/>
      <c r="C19" s="6">
        <f>SUM(C4:C18)</f>
        <v>2269</v>
      </c>
      <c r="D19" s="6"/>
      <c r="E19" s="6">
        <f>SUM(E4:E18)</f>
        <v>185</v>
      </c>
      <c r="F19" s="6">
        <f>SUM(F4:F18)</f>
        <v>2084</v>
      </c>
      <c r="G19" s="6">
        <f>SUM(G4:G18)</f>
        <v>0</v>
      </c>
    </row>
    <row r="21" spans="1:7" ht="18.75" x14ac:dyDescent="0.4">
      <c r="B21" s="8" t="s">
        <v>26</v>
      </c>
      <c r="C21" s="7"/>
      <c r="D21" s="7"/>
      <c r="E21" s="9">
        <v>2084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zoomScale="160" zoomScaleNormal="160" workbookViewId="0">
      <pane ySplit="3" topLeftCell="A4" activePane="bottomLeft" state="frozen"/>
      <selection pane="bottomLeft" activeCell="I16" sqref="I16"/>
    </sheetView>
  </sheetViews>
  <sheetFormatPr baseColWidth="10" defaultColWidth="9.140625" defaultRowHeight="15" x14ac:dyDescent="0.25"/>
  <cols>
    <col min="1" max="1" width="20" customWidth="1"/>
    <col min="2" max="2" width="12" customWidth="1"/>
    <col min="3" max="3" width="13" customWidth="1"/>
    <col min="4" max="7" width="12" customWidth="1"/>
  </cols>
  <sheetData>
    <row r="1" spans="1:7" ht="18.75" x14ac:dyDescent="0.3">
      <c r="A1" s="18" t="s">
        <v>86</v>
      </c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 t="s">
        <v>74</v>
      </c>
      <c r="B4" s="4"/>
      <c r="C4" s="4">
        <v>500</v>
      </c>
      <c r="D4" s="4" t="str">
        <f t="shared" ref="D4:D17" si="0">IF(B4="","",B4-C4)</f>
        <v/>
      </c>
      <c r="E4" s="4">
        <v>500</v>
      </c>
      <c r="F4" s="4"/>
      <c r="G4" s="4">
        <v>0</v>
      </c>
    </row>
    <row r="5" spans="1:7" x14ac:dyDescent="0.25">
      <c r="A5" s="3" t="s">
        <v>79</v>
      </c>
      <c r="B5" s="4">
        <v>30</v>
      </c>
      <c r="C5" s="4">
        <v>30</v>
      </c>
      <c r="D5" s="4">
        <f t="shared" si="0"/>
        <v>0</v>
      </c>
      <c r="E5" s="4"/>
      <c r="F5" s="4">
        <v>30</v>
      </c>
      <c r="G5" s="4"/>
    </row>
    <row r="6" spans="1:7" x14ac:dyDescent="0.25">
      <c r="A6" s="3" t="s">
        <v>78</v>
      </c>
      <c r="B6" s="4"/>
      <c r="C6" s="4">
        <v>100</v>
      </c>
      <c r="D6" s="4" t="str">
        <f t="shared" si="0"/>
        <v/>
      </c>
      <c r="E6" s="4"/>
      <c r="F6" s="4">
        <v>100</v>
      </c>
      <c r="G6" s="4"/>
    </row>
    <row r="7" spans="1:7" x14ac:dyDescent="0.25">
      <c r="A7" s="3" t="s">
        <v>74</v>
      </c>
      <c r="B7" s="4">
        <v>8</v>
      </c>
      <c r="C7" s="4">
        <v>8</v>
      </c>
      <c r="D7" s="4">
        <f t="shared" si="0"/>
        <v>0</v>
      </c>
      <c r="E7" s="4"/>
      <c r="F7" s="4">
        <v>8</v>
      </c>
      <c r="G7" s="4"/>
    </row>
    <row r="8" spans="1:7" x14ac:dyDescent="0.25">
      <c r="A8" s="3" t="s">
        <v>81</v>
      </c>
      <c r="B8" s="4"/>
      <c r="C8" s="4">
        <v>40</v>
      </c>
      <c r="D8" s="4" t="str">
        <f t="shared" si="0"/>
        <v/>
      </c>
      <c r="E8" s="4"/>
      <c r="F8" s="4">
        <v>40</v>
      </c>
      <c r="G8" s="4"/>
    </row>
    <row r="9" spans="1:7" x14ac:dyDescent="0.25">
      <c r="A9" s="3" t="s">
        <v>75</v>
      </c>
      <c r="B9" s="4">
        <v>330</v>
      </c>
      <c r="C9" s="4">
        <v>40</v>
      </c>
      <c r="D9" s="4">
        <f t="shared" si="0"/>
        <v>290</v>
      </c>
      <c r="E9" s="4"/>
      <c r="F9" s="4">
        <v>40</v>
      </c>
      <c r="G9" s="4"/>
    </row>
    <row r="10" spans="1:7" x14ac:dyDescent="0.25">
      <c r="A10" s="3" t="s">
        <v>82</v>
      </c>
      <c r="B10" s="4"/>
      <c r="C10" s="4">
        <v>25</v>
      </c>
      <c r="D10" s="4"/>
      <c r="E10" s="4"/>
      <c r="F10" s="4">
        <v>25</v>
      </c>
      <c r="G10" s="4"/>
    </row>
    <row r="11" spans="1:7" x14ac:dyDescent="0.25">
      <c r="A11" s="3" t="s">
        <v>84</v>
      </c>
      <c r="B11" s="4"/>
      <c r="C11" s="4">
        <v>1591</v>
      </c>
      <c r="D11" s="4" t="str">
        <f t="shared" si="0"/>
        <v/>
      </c>
      <c r="E11" s="4">
        <v>1591</v>
      </c>
      <c r="F11" s="4"/>
      <c r="G11" s="4"/>
    </row>
    <row r="12" spans="1:7" x14ac:dyDescent="0.25">
      <c r="A12" s="3" t="s">
        <v>54</v>
      </c>
      <c r="B12" s="4">
        <v>330</v>
      </c>
      <c r="C12" s="4">
        <v>150</v>
      </c>
      <c r="D12" s="4">
        <f t="shared" si="0"/>
        <v>180</v>
      </c>
      <c r="E12" s="4">
        <v>150</v>
      </c>
      <c r="F12" s="4"/>
      <c r="G12" s="4"/>
    </row>
    <row r="13" spans="1:7" x14ac:dyDescent="0.25">
      <c r="A13" s="3" t="s">
        <v>76</v>
      </c>
      <c r="B13" s="4"/>
      <c r="C13" s="4">
        <v>80</v>
      </c>
      <c r="D13" s="4" t="str">
        <f t="shared" si="0"/>
        <v/>
      </c>
      <c r="E13" s="4">
        <v>80</v>
      </c>
      <c r="F13" s="4"/>
      <c r="G13" s="4"/>
    </row>
    <row r="14" spans="1:7" x14ac:dyDescent="0.25">
      <c r="A14" s="3" t="s">
        <v>71</v>
      </c>
      <c r="B14" s="4">
        <v>27</v>
      </c>
      <c r="C14" s="4">
        <v>27</v>
      </c>
      <c r="D14" s="4">
        <f t="shared" si="0"/>
        <v>0</v>
      </c>
      <c r="E14" s="4">
        <v>27</v>
      </c>
      <c r="F14" s="4"/>
      <c r="G14" s="4"/>
    </row>
    <row r="15" spans="1:7" x14ac:dyDescent="0.25">
      <c r="A15" s="3" t="s">
        <v>77</v>
      </c>
      <c r="B15" s="4">
        <v>20</v>
      </c>
      <c r="C15" s="4">
        <v>20</v>
      </c>
      <c r="D15" s="4">
        <f t="shared" si="0"/>
        <v>0</v>
      </c>
      <c r="E15" s="4">
        <v>20</v>
      </c>
      <c r="F15" s="4"/>
      <c r="G15" s="4"/>
    </row>
    <row r="16" spans="1:7" x14ac:dyDescent="0.25">
      <c r="A16" s="3" t="s">
        <v>80</v>
      </c>
      <c r="B16" s="4"/>
      <c r="C16" s="4">
        <v>24</v>
      </c>
      <c r="D16" s="4" t="str">
        <f t="shared" si="0"/>
        <v/>
      </c>
      <c r="E16" s="4">
        <v>24</v>
      </c>
      <c r="F16" s="4"/>
      <c r="G16" s="4"/>
    </row>
    <row r="17" spans="1:7" x14ac:dyDescent="0.25">
      <c r="A17" s="3" t="s">
        <v>83</v>
      </c>
      <c r="B17" s="4">
        <v>68.599999999999994</v>
      </c>
      <c r="C17" s="4">
        <v>68.599999999999994</v>
      </c>
      <c r="D17" s="4">
        <f t="shared" si="0"/>
        <v>0</v>
      </c>
      <c r="E17" s="4">
        <v>68.599999999999994</v>
      </c>
      <c r="F17" s="4"/>
      <c r="G17" s="4"/>
    </row>
    <row r="18" spans="1:7" x14ac:dyDescent="0.25">
      <c r="A18" s="3" t="s">
        <v>75</v>
      </c>
      <c r="B18" s="4"/>
      <c r="C18" s="4">
        <v>290</v>
      </c>
      <c r="D18" s="4" t="str">
        <f t="shared" ref="D18" si="1">IF(B18="","",B18-C18)</f>
        <v/>
      </c>
      <c r="E18" s="4">
        <v>290</v>
      </c>
      <c r="F18" s="4"/>
      <c r="G18" s="4"/>
    </row>
    <row r="19" spans="1:7" x14ac:dyDescent="0.25">
      <c r="A19" s="17" t="s">
        <v>85</v>
      </c>
      <c r="B19" s="4">
        <v>6</v>
      </c>
      <c r="C19" s="4">
        <v>6</v>
      </c>
      <c r="D19" s="4">
        <f t="shared" ref="D19" si="2">IF(B19="","",B19-C19)</f>
        <v>0</v>
      </c>
      <c r="E19" s="4"/>
      <c r="F19" s="4">
        <v>6</v>
      </c>
      <c r="G19" s="4"/>
    </row>
    <row r="20" spans="1:7" x14ac:dyDescent="0.25">
      <c r="A20" s="15"/>
      <c r="B20" s="16"/>
      <c r="C20" s="16"/>
      <c r="D20" s="16"/>
      <c r="E20" s="16"/>
      <c r="F20" s="16"/>
      <c r="G20" s="16"/>
    </row>
    <row r="21" spans="1:7" x14ac:dyDescent="0.25">
      <c r="A21" s="5" t="s">
        <v>8</v>
      </c>
      <c r="B21" s="6"/>
      <c r="C21" s="6">
        <f>SUM(C6:C20)</f>
        <v>2469.6</v>
      </c>
      <c r="D21" s="6"/>
      <c r="E21" s="6">
        <f>SUM(E6:E20)</f>
        <v>2250.6</v>
      </c>
      <c r="F21" s="6">
        <v>249</v>
      </c>
      <c r="G21" s="6">
        <f>SUM(G6:G20)</f>
        <v>0</v>
      </c>
    </row>
    <row r="22" spans="1:7" ht="18.75" x14ac:dyDescent="0.4">
      <c r="B22" s="12"/>
      <c r="C22" s="13"/>
      <c r="D22" s="13"/>
      <c r="E22" s="14"/>
    </row>
    <row r="23" spans="1:7" ht="18.75" x14ac:dyDescent="0.4">
      <c r="B23" s="12"/>
      <c r="C23" s="13"/>
      <c r="D23" s="13"/>
      <c r="E23" s="14"/>
    </row>
    <row r="24" spans="1:7" ht="18.75" x14ac:dyDescent="0.4">
      <c r="B24" s="8" t="s">
        <v>26</v>
      </c>
      <c r="C24" s="7"/>
      <c r="D24" s="7"/>
      <c r="E24" s="9">
        <v>2087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LUNES</vt:lpstr>
      <vt:lpstr>MARTES</vt:lpstr>
      <vt:lpstr>MIERCOLES</vt:lpstr>
      <vt:lpstr>JUEVES</vt:lpstr>
      <vt:lpstr>VIERNES</vt:lpstr>
      <vt:lpstr>SABADO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 IMPRESOS</cp:lastModifiedBy>
  <dcterms:created xsi:type="dcterms:W3CDTF">2026-08-10T18:33:41Z</dcterms:created>
  <dcterms:modified xsi:type="dcterms:W3CDTF">2026-08-16T01:50:33Z</dcterms:modified>
</cp:coreProperties>
</file>