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UENTAS\EXCEL CUENTAS\"/>
    </mc:Choice>
  </mc:AlternateContent>
  <bookViews>
    <workbookView xWindow="0" yWindow="0" windowWidth="28800" windowHeight="12210" activeTab="4"/>
  </bookViews>
  <sheets>
    <sheet name="LUNES" sheetId="1" r:id="rId1"/>
    <sheet name="MARTES" sheetId="2" r:id="rId2"/>
    <sheet name="MIÉRCOLES" sheetId="3" r:id="rId3"/>
    <sheet name="JUEVES" sheetId="4" r:id="rId4"/>
    <sheet name="VIERNES" sheetId="5" r:id="rId5"/>
    <sheet name="SÁBADO" sheetId="6" r:id="rId6"/>
  </sheets>
  <definedNames>
    <definedName name="_xlnm._FilterDatabase" localSheetId="3" hidden="1">JUEVES!$A$3:$H$23</definedName>
    <definedName name="_xlnm._FilterDatabase" localSheetId="0" hidden="1">LUNES!$A$3:$H$23</definedName>
    <definedName name="_xlnm._FilterDatabase" localSheetId="1" hidden="1">MARTES!$A$3:$H$18</definedName>
    <definedName name="_xlnm._FilterDatabase" localSheetId="2" hidden="1">MIÉRCOLES!$A$3:$H$18</definedName>
    <definedName name="_xlnm._FilterDatabase" localSheetId="5" hidden="1">SÁBADO!$A$3:$H$23</definedName>
    <definedName name="_xlnm._FilterDatabase" localSheetId="4" hidden="1">VIERNES!$A$3:$H$18</definedName>
  </definedNames>
  <calcPr calcId="162913"/>
</workbook>
</file>

<file path=xl/calcChain.xml><?xml version="1.0" encoding="utf-8"?>
<calcChain xmlns="http://schemas.openxmlformats.org/spreadsheetml/2006/main">
  <c r="E17" i="3" l="1"/>
  <c r="E18" i="3"/>
  <c r="H24" i="6" l="1"/>
  <c r="G24" i="6"/>
  <c r="F24" i="6"/>
  <c r="D24" i="6"/>
  <c r="C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24" i="6" s="1"/>
  <c r="H19" i="5"/>
  <c r="G19" i="5"/>
  <c r="F19" i="5"/>
  <c r="D19" i="5"/>
  <c r="C19" i="5"/>
  <c r="E18" i="5"/>
  <c r="E17" i="5"/>
  <c r="E16" i="5"/>
  <c r="E14" i="5"/>
  <c r="E13" i="5"/>
  <c r="E12" i="5"/>
  <c r="E11" i="5"/>
  <c r="E10" i="5"/>
  <c r="E9" i="5"/>
  <c r="E8" i="5"/>
  <c r="E7" i="5"/>
  <c r="E6" i="5"/>
  <c r="E5" i="5"/>
  <c r="E4" i="5"/>
  <c r="H24" i="4"/>
  <c r="G24" i="4"/>
  <c r="F24" i="4"/>
  <c r="D24" i="4"/>
  <c r="C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H19" i="3"/>
  <c r="G19" i="3"/>
  <c r="F19" i="3"/>
  <c r="D19" i="3"/>
  <c r="C19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H19" i="2"/>
  <c r="G19" i="2"/>
  <c r="F19" i="2"/>
  <c r="D19" i="2"/>
  <c r="C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H24" i="1"/>
  <c r="G24" i="1"/>
  <c r="F24" i="1"/>
  <c r="D24" i="1"/>
  <c r="C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19" i="5" l="1"/>
  <c r="E24" i="4"/>
  <c r="E19" i="3"/>
  <c r="E19" i="2"/>
  <c r="E24" i="1"/>
</calcChain>
</file>

<file path=xl/sharedStrings.xml><?xml version="1.0" encoding="utf-8"?>
<sst xmlns="http://schemas.openxmlformats.org/spreadsheetml/2006/main" count="128" uniqueCount="80">
  <si>
    <t>LUNES</t>
  </si>
  <si>
    <t>TELÉFONO</t>
  </si>
  <si>
    <t>CLIENTE</t>
  </si>
  <si>
    <t>PRECIO</t>
  </si>
  <si>
    <t>A CUENTA</t>
  </si>
  <si>
    <t>SALDO</t>
  </si>
  <si>
    <t>YAPE</t>
  </si>
  <si>
    <t>EFECTIVO</t>
  </si>
  <si>
    <t>GASTOS</t>
  </si>
  <si>
    <t>TOTAL</t>
  </si>
  <si>
    <t>MARTES</t>
  </si>
  <si>
    <t>MIÉRCOLES</t>
  </si>
  <si>
    <t>JUEVES</t>
  </si>
  <si>
    <t>VIERNES</t>
  </si>
  <si>
    <t>SÁBADO</t>
  </si>
  <si>
    <t>LEZAMA VINILES</t>
  </si>
  <si>
    <t>BANNER  IMPR.</t>
  </si>
  <si>
    <t xml:space="preserve">BANNER </t>
  </si>
  <si>
    <t>VAQUERO</t>
  </si>
  <si>
    <t>BANNER TEFA</t>
  </si>
  <si>
    <t>VINIL JOSUE</t>
  </si>
  <si>
    <t>VINIL MATE</t>
  </si>
  <si>
    <t>ESTRELLA BANNER</t>
  </si>
  <si>
    <t>NIGEL ART VINILES</t>
  </si>
  <si>
    <t>BANNER RONIER SALDO</t>
  </si>
  <si>
    <t>BANNER ORLANDO</t>
  </si>
  <si>
    <t>LAS VEGAS</t>
  </si>
  <si>
    <t>RICARDO LUJAN SALDO</t>
  </si>
  <si>
    <t>BANNER MORADA</t>
  </si>
  <si>
    <t>GARY IMPRENTA CELTEX</t>
  </si>
  <si>
    <t>27 ANGEL</t>
  </si>
  <si>
    <t>CESAR SALINAS</t>
  </si>
  <si>
    <t>RICKY PLOTEO</t>
  </si>
  <si>
    <t>BANNER</t>
  </si>
  <si>
    <t>BBACKING 3 PIEZAS</t>
  </si>
  <si>
    <t>LUCHO OTUZCO SALDO</t>
  </si>
  <si>
    <t>JAC PRINT</t>
  </si>
  <si>
    <t>ROLL SCREEN GARY</t>
  </si>
  <si>
    <t>CORTE LASER</t>
  </si>
  <si>
    <t>PLANCHA STICKERS VANESA</t>
  </si>
  <si>
    <t>BANNER 120</t>
  </si>
  <si>
    <t>AGUA GLO</t>
  </si>
  <si>
    <t>NICOLAS</t>
  </si>
  <si>
    <t>INSTALACION MODULO</t>
  </si>
  <si>
    <t>BANNER GENESIS</t>
  </si>
  <si>
    <t>BANNER VENTA</t>
  </si>
  <si>
    <t>VINIL SALDO</t>
  </si>
  <si>
    <t>RULETA</t>
  </si>
  <si>
    <t>BANNER MARTIN</t>
  </si>
  <si>
    <t>BANNER ANDY</t>
  </si>
  <si>
    <t>SALDO BANNER</t>
  </si>
  <si>
    <t>10 ANGEL</t>
  </si>
  <si>
    <t>PERCY GELDRES SALDO</t>
  </si>
  <si>
    <t>VINIL BRILLO</t>
  </si>
  <si>
    <t>RAFAEL  BANNER</t>
  </si>
  <si>
    <t>RAFAEL BANNER ROTULOS</t>
  </si>
  <si>
    <t>MODULO PUBLICITARIO</t>
  </si>
  <si>
    <t>ANDY BANNER</t>
  </si>
  <si>
    <t>RAFAEL BANNER 1 UND</t>
  </si>
  <si>
    <t>PLOTEO VIINL PISTA</t>
  </si>
  <si>
    <t>BANNER PICOTA</t>
  </si>
  <si>
    <t>STICKERS  VALDERRAMA</t>
  </si>
  <si>
    <t>LUCHO SAN MARTIN</t>
  </si>
  <si>
    <t>BANNER + BASTA</t>
  </si>
  <si>
    <t>1M VINIL NEGRO</t>
  </si>
  <si>
    <t>92 SOLES MARCELL</t>
  </si>
  <si>
    <t>BANNER MOTOS</t>
  </si>
  <si>
    <t>PLOTEO VINIL</t>
  </si>
  <si>
    <t>VINIL  PLOTEO</t>
  </si>
  <si>
    <t>RUBEN NARVAEZ</t>
  </si>
  <si>
    <t>CELTEX + VINIL</t>
  </si>
  <si>
    <t>CELTEX CHEQUE</t>
  </si>
  <si>
    <t>2M VINIL</t>
  </si>
  <si>
    <t>19  MARCELL</t>
  </si>
  <si>
    <t>VINIL + PVC SEÑALES</t>
  </si>
  <si>
    <t>ESTRELLA VINIL</t>
  </si>
  <si>
    <t>20 SOLES MARCELL</t>
  </si>
  <si>
    <t>PLOTEO VINIL BLANCO</t>
  </si>
  <si>
    <t>GENESIS BANNER</t>
  </si>
  <si>
    <t>CESAR VASQUEZ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</si>
</sst>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rgb="FFFF0000"/>
      <name val="Calibri"/>
    </font>
    <font>
      <b/>
      <sz val="11"/>
      <color rgb="FFFF0000"/>
      <name val="Calibri"/>
    </font>
    <font>
      <b/>
      <sz val="11"/>
      <name val="Calibri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4" fontId="0" fillId="3" borderId="1" xfId="0" applyNumberFormat="1" applyFill="1" applyBorder="1" applyAlignment="1">
      <alignment vertical="center"/>
    </xf>
    <xf numFmtId="4" fontId="3" fillId="4" borderId="1" xfId="0" applyNumberFormat="1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workbookViewId="0">
      <pane ySplit="3" topLeftCell="A4" activePane="bottomLeft" state="frozen"/>
      <selection pane="bottomLeft" activeCell="F20" sqref="F20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0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/>
      <c r="B4" s="3" t="s">
        <v>16</v>
      </c>
      <c r="C4" s="6">
        <v>351</v>
      </c>
      <c r="D4" s="6">
        <v>351</v>
      </c>
      <c r="E4" s="6">
        <f t="shared" ref="E4:E23" si="0">IF(C4="","",C4-D4)</f>
        <v>0</v>
      </c>
      <c r="F4" s="6"/>
      <c r="G4" s="6">
        <v>351</v>
      </c>
      <c r="H4" s="4"/>
    </row>
    <row r="5" spans="1:8" ht="20.100000000000001" customHeight="1" x14ac:dyDescent="0.25">
      <c r="A5" s="3"/>
      <c r="B5" s="3" t="s">
        <v>18</v>
      </c>
      <c r="C5" s="6">
        <v>17</v>
      </c>
      <c r="D5" s="6">
        <v>17</v>
      </c>
      <c r="E5" s="6">
        <f t="shared" si="0"/>
        <v>0</v>
      </c>
      <c r="F5" s="6">
        <v>17</v>
      </c>
      <c r="G5" s="6"/>
      <c r="H5" s="4"/>
    </row>
    <row r="6" spans="1:8" ht="20.100000000000001" customHeight="1" x14ac:dyDescent="0.25">
      <c r="A6" s="3"/>
      <c r="B6" s="3" t="s">
        <v>15</v>
      </c>
      <c r="C6" s="6">
        <v>145</v>
      </c>
      <c r="D6" s="6">
        <v>145</v>
      </c>
      <c r="E6" s="6">
        <f t="shared" si="0"/>
        <v>0</v>
      </c>
      <c r="F6" s="6"/>
      <c r="G6" s="6">
        <v>145</v>
      </c>
      <c r="H6" s="4"/>
    </row>
    <row r="7" spans="1:8" ht="20.100000000000001" customHeight="1" x14ac:dyDescent="0.25">
      <c r="A7" s="3"/>
      <c r="B7" s="3" t="s">
        <v>17</v>
      </c>
      <c r="C7" s="6">
        <v>30</v>
      </c>
      <c r="D7" s="6">
        <v>30</v>
      </c>
      <c r="E7" s="6">
        <f t="shared" si="0"/>
        <v>0</v>
      </c>
      <c r="F7" s="6">
        <v>30</v>
      </c>
      <c r="G7" s="6"/>
      <c r="H7" s="4"/>
    </row>
    <row r="8" spans="1:8" ht="20.100000000000001" customHeight="1" x14ac:dyDescent="0.25">
      <c r="A8" s="3"/>
      <c r="B8" s="3" t="s">
        <v>19</v>
      </c>
      <c r="C8" s="6">
        <v>47</v>
      </c>
      <c r="D8" s="6">
        <v>30</v>
      </c>
      <c r="E8" s="6">
        <f t="shared" si="0"/>
        <v>17</v>
      </c>
      <c r="F8" s="6">
        <v>30</v>
      </c>
      <c r="G8" s="6"/>
      <c r="H8" s="4"/>
    </row>
    <row r="9" spans="1:8" ht="20.100000000000001" customHeight="1" x14ac:dyDescent="0.25">
      <c r="A9" s="3"/>
      <c r="B9" s="3" t="s">
        <v>20</v>
      </c>
      <c r="C9" s="6"/>
      <c r="D9" s="6">
        <v>10</v>
      </c>
      <c r="E9" s="6" t="str">
        <f t="shared" si="0"/>
        <v/>
      </c>
      <c r="F9" s="6"/>
      <c r="G9" s="6">
        <v>10</v>
      </c>
      <c r="H9" s="4"/>
    </row>
    <row r="10" spans="1:8" ht="20.100000000000001" customHeight="1" x14ac:dyDescent="0.25">
      <c r="A10" s="3"/>
      <c r="B10" s="3" t="s">
        <v>21</v>
      </c>
      <c r="C10" s="6">
        <v>25</v>
      </c>
      <c r="D10" s="6">
        <v>25</v>
      </c>
      <c r="E10" s="6">
        <f t="shared" si="0"/>
        <v>0</v>
      </c>
      <c r="F10" s="6">
        <v>25</v>
      </c>
      <c r="G10" s="6"/>
      <c r="H10" s="4"/>
    </row>
    <row r="11" spans="1:8" ht="20.100000000000001" customHeight="1" x14ac:dyDescent="0.25">
      <c r="A11" s="3"/>
      <c r="B11" s="3" t="s">
        <v>22</v>
      </c>
      <c r="C11" s="6">
        <v>20</v>
      </c>
      <c r="D11" s="6">
        <v>20</v>
      </c>
      <c r="E11" s="6">
        <f t="shared" si="0"/>
        <v>0</v>
      </c>
      <c r="F11" s="6">
        <v>20</v>
      </c>
      <c r="G11" s="6"/>
      <c r="H11" s="4"/>
    </row>
    <row r="12" spans="1:8" ht="20.100000000000001" customHeight="1" x14ac:dyDescent="0.25">
      <c r="A12" s="3"/>
      <c r="B12" s="3" t="s">
        <v>23</v>
      </c>
      <c r="C12" s="6">
        <v>990</v>
      </c>
      <c r="D12" s="6">
        <v>490</v>
      </c>
      <c r="E12" s="6">
        <f t="shared" si="0"/>
        <v>500</v>
      </c>
      <c r="F12" s="6">
        <v>490</v>
      </c>
      <c r="G12" s="6"/>
      <c r="H12" s="4"/>
    </row>
    <row r="13" spans="1:8" ht="20.100000000000001" customHeight="1" x14ac:dyDescent="0.25">
      <c r="A13" s="3"/>
      <c r="B13" s="3" t="s">
        <v>24</v>
      </c>
      <c r="C13" s="6"/>
      <c r="D13" s="6">
        <v>1030</v>
      </c>
      <c r="E13" s="6" t="str">
        <f t="shared" si="0"/>
        <v/>
      </c>
      <c r="F13" s="6">
        <v>30</v>
      </c>
      <c r="G13" s="6">
        <v>1000</v>
      </c>
      <c r="H13" s="4"/>
    </row>
    <row r="14" spans="1:8" ht="20.100000000000001" customHeight="1" x14ac:dyDescent="0.25">
      <c r="A14" s="3"/>
      <c r="B14" s="3" t="s">
        <v>25</v>
      </c>
      <c r="C14" s="6">
        <v>742</v>
      </c>
      <c r="D14" s="6">
        <v>400</v>
      </c>
      <c r="E14" s="6">
        <f t="shared" si="0"/>
        <v>342</v>
      </c>
      <c r="F14" s="6"/>
      <c r="G14" s="6">
        <v>400</v>
      </c>
      <c r="H14" s="4"/>
    </row>
    <row r="15" spans="1:8" ht="20.100000000000001" customHeight="1" x14ac:dyDescent="0.25">
      <c r="A15" s="3"/>
      <c r="B15" s="3" t="s">
        <v>26</v>
      </c>
      <c r="C15" s="6">
        <v>30</v>
      </c>
      <c r="D15" s="6">
        <v>30</v>
      </c>
      <c r="E15" s="6">
        <f t="shared" si="0"/>
        <v>0</v>
      </c>
      <c r="F15" s="6"/>
      <c r="G15" s="6">
        <v>30</v>
      </c>
      <c r="H15" s="4"/>
    </row>
    <row r="16" spans="1:8" ht="20.100000000000001" customHeight="1" x14ac:dyDescent="0.25">
      <c r="A16" s="3"/>
      <c r="B16" s="3" t="s">
        <v>27</v>
      </c>
      <c r="C16" s="6"/>
      <c r="D16" s="6">
        <v>500</v>
      </c>
      <c r="E16" s="6" t="str">
        <f t="shared" si="0"/>
        <v/>
      </c>
      <c r="F16" s="6"/>
      <c r="G16" s="6">
        <v>500</v>
      </c>
      <c r="H16" s="4"/>
    </row>
    <row r="17" spans="1:8" ht="20.100000000000001" customHeight="1" x14ac:dyDescent="0.25">
      <c r="A17" s="3"/>
      <c r="B17" s="3" t="s">
        <v>28</v>
      </c>
      <c r="C17" s="6">
        <v>20</v>
      </c>
      <c r="D17" s="6">
        <v>20</v>
      </c>
      <c r="E17" s="6">
        <f t="shared" si="0"/>
        <v>0</v>
      </c>
      <c r="F17" s="6">
        <v>20</v>
      </c>
      <c r="G17" s="6"/>
      <c r="H17" s="4"/>
    </row>
    <row r="18" spans="1:8" ht="20.100000000000001" customHeight="1" x14ac:dyDescent="0.25">
      <c r="A18" s="3"/>
      <c r="B18" s="3"/>
      <c r="C18" s="6"/>
      <c r="D18" s="6"/>
      <c r="E18" s="6" t="str">
        <f t="shared" si="0"/>
        <v/>
      </c>
      <c r="F18" s="6"/>
      <c r="G18" s="6"/>
      <c r="H18" s="4"/>
    </row>
    <row r="19" spans="1:8" ht="20.100000000000001" customHeight="1" x14ac:dyDescent="0.25">
      <c r="A19" s="3"/>
      <c r="B19" s="3"/>
      <c r="C19" s="6"/>
      <c r="D19" s="6"/>
      <c r="E19" s="6" t="str">
        <f t="shared" si="0"/>
        <v/>
      </c>
      <c r="F19" s="6"/>
      <c r="G19" s="6"/>
      <c r="H19" s="4"/>
    </row>
    <row r="20" spans="1:8" ht="20.100000000000001" customHeight="1" x14ac:dyDescent="0.25">
      <c r="A20" s="3"/>
      <c r="B20" s="3"/>
      <c r="C20" s="6"/>
      <c r="D20" s="6"/>
      <c r="E20" s="6" t="str">
        <f t="shared" si="0"/>
        <v/>
      </c>
      <c r="F20" s="6"/>
      <c r="G20" s="6"/>
      <c r="H20" s="4"/>
    </row>
    <row r="21" spans="1:8" ht="20.100000000000001" customHeight="1" x14ac:dyDescent="0.25">
      <c r="A21" s="3"/>
      <c r="B21" s="3"/>
      <c r="C21" s="6"/>
      <c r="D21" s="6"/>
      <c r="E21" s="6" t="str">
        <f t="shared" si="0"/>
        <v/>
      </c>
      <c r="F21" s="6"/>
      <c r="G21" s="6"/>
      <c r="H21" s="4"/>
    </row>
    <row r="22" spans="1:8" ht="20.100000000000001" customHeight="1" x14ac:dyDescent="0.25">
      <c r="A22" s="3"/>
      <c r="B22" s="3"/>
      <c r="C22" s="6"/>
      <c r="D22" s="6"/>
      <c r="E22" s="6" t="str">
        <f t="shared" si="0"/>
        <v/>
      </c>
      <c r="F22" s="6"/>
      <c r="G22" s="6"/>
      <c r="H22" s="4"/>
    </row>
    <row r="23" spans="1:8" ht="20.100000000000001" customHeight="1" x14ac:dyDescent="0.25">
      <c r="A23" s="3"/>
      <c r="B23" s="3"/>
      <c r="C23" s="6"/>
      <c r="D23" s="6"/>
      <c r="E23" s="6" t="str">
        <f t="shared" si="0"/>
        <v/>
      </c>
      <c r="F23" s="6"/>
      <c r="G23" s="6"/>
      <c r="H23" s="4"/>
    </row>
    <row r="24" spans="1:8" ht="24" customHeight="1" x14ac:dyDescent="0.25">
      <c r="A24" s="7" t="s">
        <v>9</v>
      </c>
      <c r="B24" s="7"/>
      <c r="C24" s="5">
        <f t="shared" ref="C24:H24" si="1">SUM(C4:C23)</f>
        <v>2417</v>
      </c>
      <c r="D24" s="5">
        <f t="shared" si="1"/>
        <v>3098</v>
      </c>
      <c r="E24" s="5">
        <f t="shared" si="1"/>
        <v>859</v>
      </c>
      <c r="F24" s="5">
        <f t="shared" si="1"/>
        <v>662</v>
      </c>
      <c r="G24" s="5">
        <f t="shared" si="1"/>
        <v>2436</v>
      </c>
      <c r="H24" s="5">
        <f t="shared" si="1"/>
        <v>0</v>
      </c>
    </row>
  </sheetData>
  <mergeCells count="1">
    <mergeCell ref="A24:B24"/>
  </mergeCells>
  <pageMargins left="0.2" right="0.2" top="0.3" bottom="0.3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showGridLines="0" workbookViewId="0">
      <pane ySplit="3" topLeftCell="A4" activePane="bottomLeft" state="frozen"/>
      <selection pane="bottomLeft" activeCell="K16" sqref="K16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10" ht="27.95" customHeight="1" x14ac:dyDescent="0.35">
      <c r="A1" s="1" t="s">
        <v>10</v>
      </c>
    </row>
    <row r="3" spans="1:10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10" ht="20.100000000000001" customHeight="1" x14ac:dyDescent="0.25">
      <c r="A4" s="3"/>
      <c r="B4" s="3" t="s">
        <v>32</v>
      </c>
      <c r="C4" s="6">
        <v>20</v>
      </c>
      <c r="D4" s="6">
        <v>20</v>
      </c>
      <c r="E4" s="6">
        <f t="shared" ref="E4:E18" si="0">IF(C4="","",C4-D4)</f>
        <v>0</v>
      </c>
      <c r="F4" s="6"/>
      <c r="G4" s="6">
        <v>20</v>
      </c>
      <c r="H4" s="4"/>
    </row>
    <row r="5" spans="1:10" ht="20.100000000000001" customHeight="1" x14ac:dyDescent="0.25">
      <c r="A5" s="3"/>
      <c r="B5" s="3" t="s">
        <v>33</v>
      </c>
      <c r="C5" s="6">
        <v>26</v>
      </c>
      <c r="D5" s="6">
        <v>26</v>
      </c>
      <c r="E5" s="6">
        <f t="shared" si="0"/>
        <v>0</v>
      </c>
      <c r="F5" s="6">
        <v>26</v>
      </c>
      <c r="G5" s="6"/>
      <c r="H5" s="4"/>
    </row>
    <row r="6" spans="1:10" ht="20.100000000000001" customHeight="1" x14ac:dyDescent="0.25">
      <c r="A6" s="3"/>
      <c r="B6" s="3" t="s">
        <v>31</v>
      </c>
      <c r="C6" s="6">
        <v>1800</v>
      </c>
      <c r="D6" s="6">
        <v>800</v>
      </c>
      <c r="E6" s="6">
        <f t="shared" si="0"/>
        <v>1000</v>
      </c>
      <c r="F6" s="6"/>
      <c r="G6" s="6">
        <v>800</v>
      </c>
      <c r="H6" s="4"/>
      <c r="J6" t="s">
        <v>30</v>
      </c>
    </row>
    <row r="7" spans="1:10" ht="20.100000000000001" customHeight="1" x14ac:dyDescent="0.25">
      <c r="A7" s="3"/>
      <c r="B7" s="3" t="s">
        <v>29</v>
      </c>
      <c r="C7" s="6">
        <v>60</v>
      </c>
      <c r="D7" s="6">
        <v>60</v>
      </c>
      <c r="E7" s="6">
        <f t="shared" si="0"/>
        <v>0</v>
      </c>
      <c r="F7" s="6"/>
      <c r="G7" s="6">
        <v>60</v>
      </c>
      <c r="H7" s="4"/>
    </row>
    <row r="8" spans="1:10" ht="20.100000000000001" customHeight="1" x14ac:dyDescent="0.25">
      <c r="A8" s="3"/>
      <c r="B8" s="3" t="s">
        <v>34</v>
      </c>
      <c r="C8" s="6">
        <v>500</v>
      </c>
      <c r="D8" s="6">
        <v>500</v>
      </c>
      <c r="E8" s="6">
        <f t="shared" si="0"/>
        <v>0</v>
      </c>
      <c r="F8" s="6">
        <v>500</v>
      </c>
      <c r="G8" s="6"/>
      <c r="H8" s="4"/>
    </row>
    <row r="9" spans="1:10" ht="20.100000000000001" customHeight="1" x14ac:dyDescent="0.25">
      <c r="A9" s="3"/>
      <c r="B9" s="3" t="s">
        <v>35</v>
      </c>
      <c r="C9" s="6"/>
      <c r="D9" s="6">
        <v>2960</v>
      </c>
      <c r="E9" s="6" t="str">
        <f t="shared" si="0"/>
        <v/>
      </c>
      <c r="F9" s="6">
        <v>2960</v>
      </c>
      <c r="G9" s="6"/>
      <c r="H9" s="4"/>
    </row>
    <row r="10" spans="1:10" ht="20.100000000000001" customHeight="1" x14ac:dyDescent="0.25">
      <c r="A10" s="3"/>
      <c r="B10" s="3" t="s">
        <v>36</v>
      </c>
      <c r="C10" s="6">
        <v>82</v>
      </c>
      <c r="D10" s="6">
        <v>82</v>
      </c>
      <c r="E10" s="6">
        <f t="shared" si="0"/>
        <v>0</v>
      </c>
      <c r="F10" s="6">
        <v>82</v>
      </c>
      <c r="G10" s="6"/>
      <c r="H10" s="4"/>
    </row>
    <row r="11" spans="1:10" ht="20.100000000000001" customHeight="1" x14ac:dyDescent="0.25">
      <c r="A11" s="3"/>
      <c r="B11" s="3" t="s">
        <v>37</v>
      </c>
      <c r="C11" s="6">
        <v>92</v>
      </c>
      <c r="D11" s="6">
        <v>92</v>
      </c>
      <c r="E11" s="6">
        <f t="shared" si="0"/>
        <v>0</v>
      </c>
      <c r="F11" s="6"/>
      <c r="G11" s="6">
        <v>92</v>
      </c>
      <c r="H11" s="4"/>
    </row>
    <row r="12" spans="1:10" ht="20.100000000000001" customHeight="1" x14ac:dyDescent="0.25">
      <c r="A12" s="3"/>
      <c r="B12" s="3" t="s">
        <v>38</v>
      </c>
      <c r="C12" s="6">
        <v>7.5</v>
      </c>
      <c r="D12" s="6">
        <v>7.5</v>
      </c>
      <c r="E12" s="6">
        <f t="shared" si="0"/>
        <v>0</v>
      </c>
      <c r="F12" s="6"/>
      <c r="G12" s="6">
        <v>7.5</v>
      </c>
      <c r="H12" s="4"/>
    </row>
    <row r="13" spans="1:10" ht="20.100000000000001" customHeight="1" x14ac:dyDescent="0.25">
      <c r="A13" s="3"/>
      <c r="B13" s="3" t="s">
        <v>39</v>
      </c>
      <c r="C13" s="6">
        <v>40</v>
      </c>
      <c r="D13" s="6">
        <v>20</v>
      </c>
      <c r="E13" s="6">
        <f t="shared" si="0"/>
        <v>20</v>
      </c>
      <c r="F13" s="6">
        <v>20</v>
      </c>
      <c r="G13" s="6"/>
      <c r="H13" s="4"/>
    </row>
    <row r="14" spans="1:10" ht="20.100000000000001" customHeight="1" x14ac:dyDescent="0.25">
      <c r="A14" s="3"/>
      <c r="B14" s="3" t="s">
        <v>40</v>
      </c>
      <c r="C14" s="6">
        <v>15</v>
      </c>
      <c r="D14" s="6">
        <v>15</v>
      </c>
      <c r="E14" s="6">
        <f t="shared" si="0"/>
        <v>0</v>
      </c>
      <c r="F14" s="6"/>
      <c r="G14" s="6">
        <v>15</v>
      </c>
      <c r="H14" s="4"/>
    </row>
    <row r="15" spans="1:10" ht="20.100000000000001" customHeight="1" x14ac:dyDescent="0.25">
      <c r="A15" s="3"/>
      <c r="B15" s="3"/>
      <c r="C15" s="6"/>
      <c r="D15" s="6"/>
      <c r="E15" s="6" t="str">
        <f t="shared" si="0"/>
        <v/>
      </c>
      <c r="F15" s="6"/>
      <c r="G15" s="6"/>
      <c r="H15" s="4"/>
    </row>
    <row r="16" spans="1:10" ht="20.100000000000001" customHeight="1" x14ac:dyDescent="0.25">
      <c r="A16" s="3"/>
      <c r="B16" s="3"/>
      <c r="C16" s="6"/>
      <c r="D16" s="6"/>
      <c r="E16" s="6" t="str">
        <f t="shared" si="0"/>
        <v/>
      </c>
      <c r="F16" s="6"/>
      <c r="G16" s="6"/>
      <c r="H16" s="4"/>
    </row>
    <row r="17" spans="1:8" ht="20.100000000000001" customHeight="1" x14ac:dyDescent="0.25">
      <c r="A17" s="3"/>
      <c r="B17" s="3"/>
      <c r="C17" s="6"/>
      <c r="D17" s="6"/>
      <c r="E17" s="6" t="str">
        <f t="shared" si="0"/>
        <v/>
      </c>
      <c r="F17" s="6"/>
      <c r="G17" s="6"/>
      <c r="H17" s="4"/>
    </row>
    <row r="18" spans="1:8" ht="20.100000000000001" customHeight="1" x14ac:dyDescent="0.25">
      <c r="A18" s="3"/>
      <c r="B18" s="3"/>
      <c r="C18" s="6"/>
      <c r="D18" s="6"/>
      <c r="E18" s="6" t="str">
        <f t="shared" si="0"/>
        <v/>
      </c>
      <c r="F18" s="6"/>
      <c r="G18" s="6"/>
      <c r="H18" s="4"/>
    </row>
    <row r="19" spans="1:8" ht="20.100000000000001" customHeight="1" x14ac:dyDescent="0.25">
      <c r="A19" s="7" t="s">
        <v>9</v>
      </c>
      <c r="B19" s="7"/>
      <c r="C19" s="5">
        <f t="shared" ref="C19:H19" si="1">SUM(C4:C18)</f>
        <v>2642.5</v>
      </c>
      <c r="D19" s="5">
        <f t="shared" si="1"/>
        <v>4582.5</v>
      </c>
      <c r="E19" s="5">
        <f t="shared" si="1"/>
        <v>1020</v>
      </c>
      <c r="F19" s="5">
        <f t="shared" si="1"/>
        <v>3588</v>
      </c>
      <c r="G19" s="5">
        <f t="shared" si="1"/>
        <v>994.5</v>
      </c>
      <c r="H19" s="5">
        <f t="shared" si="1"/>
        <v>0</v>
      </c>
    </row>
    <row r="20" spans="1:8" ht="20.100000000000001" customHeight="1" x14ac:dyDescent="0.25"/>
    <row r="21" spans="1:8" ht="20.100000000000001" customHeight="1" x14ac:dyDescent="0.25"/>
    <row r="22" spans="1:8" ht="20.100000000000001" customHeight="1" x14ac:dyDescent="0.25"/>
    <row r="23" spans="1:8" ht="20.100000000000001" customHeight="1" x14ac:dyDescent="0.25"/>
    <row r="24" spans="1:8" ht="24" customHeight="1" x14ac:dyDescent="0.25"/>
  </sheetData>
  <mergeCells count="1">
    <mergeCell ref="A19:B19"/>
  </mergeCells>
  <pageMargins left="0.2" right="0.2" top="0.3" bottom="0.3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workbookViewId="0">
      <pane ySplit="3" topLeftCell="A4" activePane="bottomLeft" state="frozen"/>
      <selection pane="bottomLeft" activeCell="K16" sqref="K16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11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/>
      <c r="B4" s="3" t="s">
        <v>43</v>
      </c>
      <c r="C4" s="6">
        <v>100</v>
      </c>
      <c r="D4" s="6">
        <v>100</v>
      </c>
      <c r="E4" s="6">
        <f t="shared" ref="E4:E18" si="0">IF(C4="","",C4-D4)</f>
        <v>0</v>
      </c>
      <c r="F4" s="6"/>
      <c r="G4" s="6">
        <v>100</v>
      </c>
      <c r="H4" s="4" t="s">
        <v>51</v>
      </c>
    </row>
    <row r="5" spans="1:8" ht="20.100000000000001" customHeight="1" x14ac:dyDescent="0.25">
      <c r="A5" s="3"/>
      <c r="B5" s="3" t="s">
        <v>42</v>
      </c>
      <c r="C5" s="6">
        <v>135</v>
      </c>
      <c r="D5" s="6">
        <v>135</v>
      </c>
      <c r="E5" s="6">
        <f t="shared" si="0"/>
        <v>0</v>
      </c>
      <c r="F5" s="6">
        <v>135</v>
      </c>
      <c r="G5" s="6"/>
      <c r="H5" s="4"/>
    </row>
    <row r="6" spans="1:8" ht="20.100000000000001" customHeight="1" x14ac:dyDescent="0.25">
      <c r="A6" s="3"/>
      <c r="B6" s="3" t="s">
        <v>41</v>
      </c>
      <c r="C6" s="6">
        <v>69</v>
      </c>
      <c r="D6" s="6">
        <v>69</v>
      </c>
      <c r="E6" s="6">
        <f t="shared" si="0"/>
        <v>0</v>
      </c>
      <c r="F6" s="6">
        <v>69</v>
      </c>
      <c r="G6" s="6"/>
      <c r="H6" s="4"/>
    </row>
    <row r="7" spans="1:8" ht="20.100000000000001" customHeight="1" x14ac:dyDescent="0.25">
      <c r="A7" s="3"/>
      <c r="B7" s="3" t="s">
        <v>44</v>
      </c>
      <c r="C7" s="6">
        <v>10</v>
      </c>
      <c r="D7" s="6">
        <v>10</v>
      </c>
      <c r="E7" s="6">
        <f t="shared" si="0"/>
        <v>0</v>
      </c>
      <c r="F7" s="6"/>
      <c r="G7" s="6">
        <v>10</v>
      </c>
      <c r="H7" s="4"/>
    </row>
    <row r="8" spans="1:8" ht="20.100000000000001" customHeight="1" x14ac:dyDescent="0.25">
      <c r="A8" s="3"/>
      <c r="B8" s="3" t="s">
        <v>45</v>
      </c>
      <c r="C8" s="6">
        <v>26</v>
      </c>
      <c r="D8" s="6">
        <v>26</v>
      </c>
      <c r="E8" s="6">
        <f t="shared" si="0"/>
        <v>0</v>
      </c>
      <c r="F8" s="6"/>
      <c r="G8" s="6">
        <v>26</v>
      </c>
      <c r="H8" s="4"/>
    </row>
    <row r="9" spans="1:8" ht="20.100000000000001" customHeight="1" x14ac:dyDescent="0.25">
      <c r="A9" s="3"/>
      <c r="B9" s="3" t="s">
        <v>46</v>
      </c>
      <c r="C9" s="6"/>
      <c r="D9" s="6">
        <v>20</v>
      </c>
      <c r="E9" s="6" t="str">
        <f t="shared" si="0"/>
        <v/>
      </c>
      <c r="F9" s="6">
        <v>20</v>
      </c>
      <c r="G9" s="6"/>
      <c r="H9" s="4"/>
    </row>
    <row r="10" spans="1:8" ht="20.100000000000001" customHeight="1" x14ac:dyDescent="0.25">
      <c r="A10" s="3"/>
      <c r="B10" s="3" t="s">
        <v>47</v>
      </c>
      <c r="C10" s="6">
        <v>280</v>
      </c>
      <c r="D10" s="6">
        <v>140</v>
      </c>
      <c r="E10" s="6">
        <f t="shared" si="0"/>
        <v>140</v>
      </c>
      <c r="F10" s="6">
        <v>140</v>
      </c>
      <c r="G10" s="6"/>
      <c r="H10" s="4"/>
    </row>
    <row r="11" spans="1:8" ht="20.100000000000001" customHeight="1" x14ac:dyDescent="0.25">
      <c r="A11" s="3"/>
      <c r="B11" s="3" t="s">
        <v>48</v>
      </c>
      <c r="C11" s="6">
        <v>54</v>
      </c>
      <c r="D11" s="6">
        <v>54</v>
      </c>
      <c r="E11" s="6">
        <f t="shared" si="0"/>
        <v>0</v>
      </c>
      <c r="F11" s="6">
        <v>54</v>
      </c>
      <c r="G11" s="6"/>
      <c r="H11" s="4"/>
    </row>
    <row r="12" spans="1:8" ht="20.100000000000001" customHeight="1" x14ac:dyDescent="0.25">
      <c r="A12" s="3"/>
      <c r="B12" s="3" t="s">
        <v>49</v>
      </c>
      <c r="C12" s="6">
        <v>71</v>
      </c>
      <c r="D12" s="6">
        <v>71</v>
      </c>
      <c r="E12" s="6">
        <f t="shared" si="0"/>
        <v>0</v>
      </c>
      <c r="F12" s="6">
        <v>71</v>
      </c>
      <c r="G12" s="6"/>
      <c r="H12" s="4"/>
    </row>
    <row r="13" spans="1:8" ht="20.100000000000001" customHeight="1" x14ac:dyDescent="0.25">
      <c r="A13" s="3"/>
      <c r="B13" s="3" t="s">
        <v>50</v>
      </c>
      <c r="C13" s="6"/>
      <c r="D13" s="6">
        <v>38</v>
      </c>
      <c r="E13" s="6" t="str">
        <f t="shared" si="0"/>
        <v/>
      </c>
      <c r="F13" s="6">
        <v>8</v>
      </c>
      <c r="G13" s="6">
        <v>30</v>
      </c>
      <c r="H13" s="4"/>
    </row>
    <row r="14" spans="1:8" ht="20.100000000000001" customHeight="1" x14ac:dyDescent="0.25">
      <c r="A14" s="3"/>
      <c r="B14" s="3"/>
      <c r="C14" s="6"/>
      <c r="D14" s="6"/>
      <c r="E14" s="6" t="str">
        <f t="shared" si="0"/>
        <v/>
      </c>
      <c r="F14" s="6"/>
      <c r="G14" s="6"/>
      <c r="H14" s="4"/>
    </row>
    <row r="15" spans="1:8" ht="20.100000000000001" customHeight="1" x14ac:dyDescent="0.25">
      <c r="A15" s="3"/>
      <c r="B15" s="3"/>
      <c r="C15" s="6"/>
      <c r="D15" s="6"/>
      <c r="E15" s="6" t="str">
        <f t="shared" si="0"/>
        <v/>
      </c>
      <c r="F15" s="6"/>
      <c r="G15" s="6"/>
      <c r="H15" s="4"/>
    </row>
    <row r="16" spans="1:8" ht="20.100000000000001" customHeight="1" x14ac:dyDescent="0.25">
      <c r="A16" s="3"/>
      <c r="B16" s="3"/>
      <c r="C16" s="6"/>
      <c r="D16" s="6"/>
      <c r="E16" s="6" t="str">
        <f t="shared" si="0"/>
        <v/>
      </c>
      <c r="F16" s="6"/>
      <c r="G16" s="6"/>
      <c r="H16" s="4"/>
    </row>
    <row r="17" spans="1:8" ht="20.100000000000001" customHeight="1" x14ac:dyDescent="0.25">
      <c r="A17" s="3"/>
      <c r="B17" s="3"/>
      <c r="C17" s="6"/>
      <c r="D17" s="6"/>
      <c r="E17" s="6" t="str">
        <f t="shared" si="0"/>
        <v/>
      </c>
      <c r="F17" s="6"/>
      <c r="G17" s="6"/>
      <c r="H17" s="4"/>
    </row>
    <row r="18" spans="1:8" ht="20.100000000000001" customHeight="1" x14ac:dyDescent="0.25">
      <c r="A18" s="3"/>
      <c r="B18" s="3"/>
      <c r="C18" s="6"/>
      <c r="D18" s="6"/>
      <c r="E18" s="6" t="str">
        <f t="shared" si="0"/>
        <v/>
      </c>
      <c r="F18" s="6"/>
      <c r="G18" s="6"/>
      <c r="H18" s="4"/>
    </row>
    <row r="19" spans="1:8" ht="20.100000000000001" customHeight="1" x14ac:dyDescent="0.25">
      <c r="A19" s="8" t="s">
        <v>9</v>
      </c>
      <c r="B19" s="9"/>
      <c r="C19" s="5">
        <f t="shared" ref="C19:H19" si="1">SUM(C4:C18)</f>
        <v>745</v>
      </c>
      <c r="D19" s="5">
        <f t="shared" si="1"/>
        <v>663</v>
      </c>
      <c r="E19" s="5">
        <f t="shared" si="1"/>
        <v>140</v>
      </c>
      <c r="F19" s="5">
        <f t="shared" si="1"/>
        <v>497</v>
      </c>
      <c r="G19" s="5">
        <f t="shared" si="1"/>
        <v>166</v>
      </c>
      <c r="H19" s="5">
        <f t="shared" si="1"/>
        <v>0</v>
      </c>
    </row>
    <row r="20" spans="1:8" ht="20.100000000000001" customHeight="1" x14ac:dyDescent="0.25"/>
    <row r="21" spans="1:8" ht="20.100000000000001" customHeight="1" x14ac:dyDescent="0.25"/>
    <row r="22" spans="1:8" ht="20.100000000000001" customHeight="1" x14ac:dyDescent="0.25"/>
    <row r="23" spans="1:8" ht="20.100000000000001" customHeight="1" x14ac:dyDescent="0.25"/>
    <row r="24" spans="1:8" ht="24" customHeight="1" x14ac:dyDescent="0.25"/>
  </sheetData>
  <mergeCells count="1">
    <mergeCell ref="A19:B19"/>
  </mergeCells>
  <pageMargins left="0.2" right="0.2" top="0.3" bottom="0.3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workbookViewId="0">
      <pane ySplit="3" topLeftCell="A4" activePane="bottomLeft" state="frozen"/>
      <selection pane="bottomLeft" activeCell="H10" sqref="H10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12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/>
      <c r="B4" s="3" t="s">
        <v>64</v>
      </c>
      <c r="C4" s="6">
        <v>8</v>
      </c>
      <c r="D4" s="6">
        <v>8</v>
      </c>
      <c r="E4" s="6">
        <f t="shared" ref="E4:E23" si="0">IF(C4="","",C4-D4)</f>
        <v>0</v>
      </c>
      <c r="F4" s="6"/>
      <c r="G4" s="6">
        <v>8</v>
      </c>
      <c r="H4" s="4"/>
    </row>
    <row r="5" spans="1:8" ht="20.100000000000001" customHeight="1" x14ac:dyDescent="0.25">
      <c r="A5" s="3"/>
      <c r="B5" s="3" t="s">
        <v>58</v>
      </c>
      <c r="C5" s="6">
        <v>75</v>
      </c>
      <c r="D5" s="6">
        <v>75</v>
      </c>
      <c r="E5" s="6">
        <f t="shared" si="0"/>
        <v>0</v>
      </c>
      <c r="F5" s="6"/>
      <c r="G5" s="6">
        <v>75</v>
      </c>
      <c r="H5" s="4"/>
    </row>
    <row r="6" spans="1:8" ht="20.100000000000001" customHeight="1" x14ac:dyDescent="0.25">
      <c r="A6" s="3"/>
      <c r="B6" s="3" t="s">
        <v>59</v>
      </c>
      <c r="C6" s="6">
        <v>350</v>
      </c>
      <c r="D6" s="6">
        <v>150</v>
      </c>
      <c r="E6" s="6">
        <f t="shared" si="0"/>
        <v>200</v>
      </c>
      <c r="F6" s="6">
        <v>150</v>
      </c>
      <c r="G6" s="6"/>
      <c r="H6" s="4"/>
    </row>
    <row r="7" spans="1:8" ht="20.100000000000001" customHeight="1" x14ac:dyDescent="0.25">
      <c r="A7" s="3"/>
      <c r="B7" s="3" t="s">
        <v>54</v>
      </c>
      <c r="C7" s="6">
        <v>144</v>
      </c>
      <c r="D7" s="6">
        <v>144</v>
      </c>
      <c r="E7" s="6">
        <f t="shared" si="0"/>
        <v>0</v>
      </c>
      <c r="F7" s="6">
        <v>144</v>
      </c>
      <c r="G7" s="6"/>
      <c r="H7" s="4"/>
    </row>
    <row r="8" spans="1:8" ht="20.100000000000001" customHeight="1" x14ac:dyDescent="0.25">
      <c r="A8" s="3"/>
      <c r="B8" s="3" t="s">
        <v>52</v>
      </c>
      <c r="C8" s="6"/>
      <c r="D8" s="6">
        <v>1845</v>
      </c>
      <c r="E8" s="6" t="str">
        <f t="shared" si="0"/>
        <v/>
      </c>
      <c r="F8" s="6"/>
      <c r="G8" s="6">
        <v>1845</v>
      </c>
      <c r="H8" s="4"/>
    </row>
    <row r="9" spans="1:8" ht="20.100000000000001" customHeight="1" x14ac:dyDescent="0.25">
      <c r="A9" s="3"/>
      <c r="B9" s="3" t="s">
        <v>57</v>
      </c>
      <c r="C9" s="6">
        <v>100</v>
      </c>
      <c r="D9" s="6">
        <v>100</v>
      </c>
      <c r="E9" s="6">
        <f t="shared" si="0"/>
        <v>0</v>
      </c>
      <c r="F9" s="6">
        <v>100</v>
      </c>
      <c r="G9" s="6"/>
      <c r="H9" s="4"/>
    </row>
    <row r="10" spans="1:8" ht="20.100000000000001" customHeight="1" x14ac:dyDescent="0.25">
      <c r="A10" s="3"/>
      <c r="B10" s="3" t="s">
        <v>53</v>
      </c>
      <c r="C10" s="6">
        <v>20</v>
      </c>
      <c r="D10" s="6">
        <v>10</v>
      </c>
      <c r="E10" s="6">
        <f t="shared" si="0"/>
        <v>10</v>
      </c>
      <c r="F10" s="6">
        <v>10</v>
      </c>
      <c r="G10" s="6"/>
      <c r="H10" s="4"/>
    </row>
    <row r="11" spans="1:8" ht="20.100000000000001" customHeight="1" x14ac:dyDescent="0.25">
      <c r="A11" s="3"/>
      <c r="B11" s="3" t="s">
        <v>55</v>
      </c>
      <c r="C11" s="6">
        <v>144</v>
      </c>
      <c r="D11" s="6">
        <v>144</v>
      </c>
      <c r="E11" s="6">
        <f t="shared" si="0"/>
        <v>0</v>
      </c>
      <c r="F11" s="6">
        <v>144</v>
      </c>
      <c r="G11" s="6"/>
      <c r="H11" s="4"/>
    </row>
    <row r="12" spans="1:8" ht="20.100000000000001" customHeight="1" x14ac:dyDescent="0.25">
      <c r="A12" s="3"/>
      <c r="B12" s="3" t="s">
        <v>56</v>
      </c>
      <c r="C12" s="6">
        <v>290</v>
      </c>
      <c r="D12" s="6">
        <v>140</v>
      </c>
      <c r="E12" s="6">
        <f t="shared" si="0"/>
        <v>150</v>
      </c>
      <c r="F12" s="6">
        <v>140</v>
      </c>
      <c r="G12" s="6"/>
      <c r="H12" s="4"/>
    </row>
    <row r="13" spans="1:8" ht="20.100000000000001" customHeight="1" x14ac:dyDescent="0.25">
      <c r="A13" s="3"/>
      <c r="B13" s="3" t="s">
        <v>22</v>
      </c>
      <c r="C13" s="6">
        <v>11.5</v>
      </c>
      <c r="D13" s="6">
        <v>11.5</v>
      </c>
      <c r="E13" s="6">
        <f t="shared" si="0"/>
        <v>0</v>
      </c>
      <c r="F13" s="6">
        <v>11.5</v>
      </c>
      <c r="G13" s="6"/>
      <c r="H13" s="4"/>
    </row>
    <row r="14" spans="1:8" ht="20.100000000000001" customHeight="1" x14ac:dyDescent="0.25">
      <c r="A14" s="3"/>
      <c r="B14" s="3" t="s">
        <v>60</v>
      </c>
      <c r="C14" s="6">
        <v>634</v>
      </c>
      <c r="D14" s="6">
        <v>400</v>
      </c>
      <c r="E14" s="6">
        <f t="shared" si="0"/>
        <v>234</v>
      </c>
      <c r="F14" s="6"/>
      <c r="G14" s="6">
        <v>400</v>
      </c>
      <c r="H14" s="4"/>
    </row>
    <row r="15" spans="1:8" ht="20.100000000000001" customHeight="1" x14ac:dyDescent="0.25">
      <c r="A15" s="3"/>
      <c r="B15" s="3" t="s">
        <v>61</v>
      </c>
      <c r="C15" s="6">
        <v>100</v>
      </c>
      <c r="D15" s="6">
        <v>100</v>
      </c>
      <c r="E15" s="6">
        <f t="shared" si="0"/>
        <v>0</v>
      </c>
      <c r="F15" s="6"/>
      <c r="G15" s="6">
        <v>100</v>
      </c>
      <c r="H15" s="4"/>
    </row>
    <row r="16" spans="1:8" ht="20.100000000000001" customHeight="1" x14ac:dyDescent="0.25">
      <c r="A16" s="3"/>
      <c r="B16" s="3" t="s">
        <v>62</v>
      </c>
      <c r="C16" s="6">
        <v>64</v>
      </c>
      <c r="D16" s="6">
        <v>50</v>
      </c>
      <c r="E16" s="6">
        <f t="shared" si="0"/>
        <v>14</v>
      </c>
      <c r="F16" s="6"/>
      <c r="G16" s="6">
        <v>50</v>
      </c>
      <c r="H16" s="4"/>
    </row>
    <row r="17" spans="1:8" ht="20.100000000000001" customHeight="1" x14ac:dyDescent="0.25">
      <c r="A17" s="3"/>
      <c r="B17" s="3" t="s">
        <v>42</v>
      </c>
      <c r="C17" s="6">
        <v>12</v>
      </c>
      <c r="D17" s="6">
        <v>12</v>
      </c>
      <c r="E17" s="6">
        <f t="shared" si="0"/>
        <v>0</v>
      </c>
      <c r="F17" s="6"/>
      <c r="G17" s="6">
        <v>12</v>
      </c>
      <c r="H17" s="4"/>
    </row>
    <row r="18" spans="1:8" ht="20.100000000000001" customHeight="1" x14ac:dyDescent="0.25">
      <c r="A18" s="3"/>
      <c r="B18" s="3" t="s">
        <v>63</v>
      </c>
      <c r="C18" s="6">
        <v>190</v>
      </c>
      <c r="D18" s="6">
        <v>190</v>
      </c>
      <c r="E18" s="6">
        <f t="shared" si="0"/>
        <v>0</v>
      </c>
      <c r="F18" s="6"/>
      <c r="G18" s="6">
        <v>190</v>
      </c>
      <c r="H18" s="4"/>
    </row>
    <row r="19" spans="1:8" ht="20.100000000000001" customHeight="1" x14ac:dyDescent="0.25">
      <c r="A19" s="3"/>
      <c r="B19" s="3"/>
      <c r="C19" s="6"/>
      <c r="D19" s="6"/>
      <c r="E19" s="6" t="str">
        <f t="shared" si="0"/>
        <v/>
      </c>
      <c r="F19" s="6"/>
      <c r="G19" s="6"/>
      <c r="H19" s="4"/>
    </row>
    <row r="20" spans="1:8" ht="20.100000000000001" customHeight="1" x14ac:dyDescent="0.25">
      <c r="A20" s="3"/>
      <c r="B20" s="3"/>
      <c r="C20" s="6"/>
      <c r="D20" s="6"/>
      <c r="E20" s="6" t="str">
        <f t="shared" si="0"/>
        <v/>
      </c>
      <c r="F20" s="6"/>
      <c r="G20" s="6"/>
      <c r="H20" s="4"/>
    </row>
    <row r="21" spans="1:8" ht="20.100000000000001" customHeight="1" x14ac:dyDescent="0.25">
      <c r="A21" s="3"/>
      <c r="B21" s="3"/>
      <c r="C21" s="6"/>
      <c r="D21" s="6"/>
      <c r="E21" s="6" t="str">
        <f t="shared" si="0"/>
        <v/>
      </c>
      <c r="F21" s="6"/>
      <c r="G21" s="6"/>
      <c r="H21" s="4"/>
    </row>
    <row r="22" spans="1:8" ht="20.100000000000001" customHeight="1" x14ac:dyDescent="0.25">
      <c r="A22" s="3"/>
      <c r="B22" s="3"/>
      <c r="C22" s="6"/>
      <c r="D22" s="6"/>
      <c r="E22" s="6" t="str">
        <f t="shared" si="0"/>
        <v/>
      </c>
      <c r="F22" s="6"/>
      <c r="G22" s="6"/>
      <c r="H22" s="4"/>
    </row>
    <row r="23" spans="1:8" ht="20.100000000000001" customHeight="1" x14ac:dyDescent="0.25">
      <c r="A23" s="3"/>
      <c r="B23" s="3"/>
      <c r="C23" s="6"/>
      <c r="D23" s="6"/>
      <c r="E23" s="6" t="str">
        <f t="shared" si="0"/>
        <v/>
      </c>
      <c r="F23" s="6"/>
      <c r="G23" s="6"/>
      <c r="H23" s="4"/>
    </row>
    <row r="24" spans="1:8" ht="24" customHeight="1" x14ac:dyDescent="0.25">
      <c r="A24" s="7" t="s">
        <v>9</v>
      </c>
      <c r="B24" s="7"/>
      <c r="C24" s="5">
        <f t="shared" ref="C24:H24" si="1">SUM(C4:C23)</f>
        <v>2142.5</v>
      </c>
      <c r="D24" s="5">
        <f t="shared" si="1"/>
        <v>3379.5</v>
      </c>
      <c r="E24" s="5">
        <f t="shared" si="1"/>
        <v>608</v>
      </c>
      <c r="F24" s="5">
        <f t="shared" si="1"/>
        <v>699.5</v>
      </c>
      <c r="G24" s="5">
        <f t="shared" si="1"/>
        <v>2680</v>
      </c>
      <c r="H24" s="5">
        <f t="shared" si="1"/>
        <v>0</v>
      </c>
    </row>
  </sheetData>
  <mergeCells count="1">
    <mergeCell ref="A24:B24"/>
  </mergeCells>
  <pageMargins left="0.2" right="0.2" top="0.3" bottom="0.3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tabSelected="1" workbookViewId="0">
      <pane ySplit="3" topLeftCell="A4" activePane="bottomLeft" state="frozen"/>
      <selection pane="bottomLeft" activeCell="C21" sqref="C21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13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/>
      <c r="B4" s="3" t="s">
        <v>68</v>
      </c>
      <c r="C4" s="6">
        <v>15</v>
      </c>
      <c r="D4" s="6">
        <v>15</v>
      </c>
      <c r="E4" s="6">
        <f t="shared" ref="E4:E18" si="0">IF(C4="","",C4-D4)</f>
        <v>0</v>
      </c>
      <c r="F4" s="6">
        <v>15</v>
      </c>
      <c r="G4" s="6"/>
      <c r="H4" s="4" t="s">
        <v>65</v>
      </c>
    </row>
    <row r="5" spans="1:8" ht="20.100000000000001" customHeight="1" x14ac:dyDescent="0.25">
      <c r="A5" s="3"/>
      <c r="B5" s="3" t="s">
        <v>66</v>
      </c>
      <c r="C5" s="6">
        <v>100</v>
      </c>
      <c r="D5" s="6">
        <v>100</v>
      </c>
      <c r="E5" s="6">
        <f t="shared" si="0"/>
        <v>0</v>
      </c>
      <c r="F5" s="6">
        <v>100</v>
      </c>
      <c r="G5" s="6"/>
      <c r="H5" s="4" t="s">
        <v>73</v>
      </c>
    </row>
    <row r="6" spans="1:8" ht="20.100000000000001" customHeight="1" x14ac:dyDescent="0.25">
      <c r="A6" s="3"/>
      <c r="B6" s="3" t="s">
        <v>67</v>
      </c>
      <c r="C6" s="6">
        <v>15</v>
      </c>
      <c r="D6" s="6">
        <v>15</v>
      </c>
      <c r="E6" s="6">
        <f t="shared" si="0"/>
        <v>0</v>
      </c>
      <c r="F6" s="6">
        <v>15</v>
      </c>
      <c r="G6" s="6"/>
      <c r="H6" s="4" t="s">
        <v>76</v>
      </c>
    </row>
    <row r="7" spans="1:8" ht="20.100000000000001" customHeight="1" x14ac:dyDescent="0.25">
      <c r="A7" s="3"/>
      <c r="B7" s="3" t="s">
        <v>69</v>
      </c>
      <c r="C7" s="6">
        <v>1440</v>
      </c>
      <c r="D7" s="6">
        <v>500</v>
      </c>
      <c r="E7" s="6">
        <f t="shared" si="0"/>
        <v>940</v>
      </c>
      <c r="F7" s="6"/>
      <c r="G7" s="6">
        <v>500</v>
      </c>
      <c r="H7" s="4"/>
    </row>
    <row r="8" spans="1:8" ht="20.100000000000001" customHeight="1" x14ac:dyDescent="0.25">
      <c r="A8" s="3"/>
      <c r="B8" s="3" t="s">
        <v>17</v>
      </c>
      <c r="C8" s="6">
        <v>10</v>
      </c>
      <c r="D8" s="6">
        <v>10</v>
      </c>
      <c r="E8" s="6">
        <f t="shared" si="0"/>
        <v>0</v>
      </c>
      <c r="F8" s="6">
        <v>10</v>
      </c>
      <c r="G8" s="6"/>
      <c r="H8" s="4"/>
    </row>
    <row r="9" spans="1:8" ht="20.100000000000001" customHeight="1" x14ac:dyDescent="0.25">
      <c r="A9" s="3"/>
      <c r="B9" s="3" t="s">
        <v>70</v>
      </c>
      <c r="C9" s="6">
        <v>70</v>
      </c>
      <c r="D9" s="6">
        <v>70</v>
      </c>
      <c r="E9" s="6">
        <f t="shared" si="0"/>
        <v>0</v>
      </c>
      <c r="F9" s="6"/>
      <c r="G9" s="6">
        <v>70</v>
      </c>
      <c r="H9" s="4"/>
    </row>
    <row r="10" spans="1:8" ht="20.100000000000001" customHeight="1" x14ac:dyDescent="0.25">
      <c r="A10" s="3"/>
      <c r="B10" s="3" t="s">
        <v>71</v>
      </c>
      <c r="C10" s="6">
        <v>70</v>
      </c>
      <c r="D10" s="6">
        <v>30</v>
      </c>
      <c r="E10" s="6">
        <f t="shared" si="0"/>
        <v>40</v>
      </c>
      <c r="F10" s="6">
        <v>30</v>
      </c>
      <c r="G10" s="6"/>
      <c r="H10" s="4"/>
    </row>
    <row r="11" spans="1:8" ht="20.100000000000001" customHeight="1" x14ac:dyDescent="0.25">
      <c r="A11" s="3"/>
      <c r="B11" s="3" t="s">
        <v>72</v>
      </c>
      <c r="C11" s="6">
        <v>16</v>
      </c>
      <c r="D11" s="6">
        <v>16</v>
      </c>
      <c r="E11" s="6">
        <f t="shared" si="0"/>
        <v>0</v>
      </c>
      <c r="F11" s="6">
        <v>16</v>
      </c>
      <c r="G11" s="6"/>
      <c r="H11" s="4"/>
    </row>
    <row r="12" spans="1:8" ht="20.100000000000001" customHeight="1" x14ac:dyDescent="0.25">
      <c r="A12" s="3"/>
      <c r="B12" s="3" t="s">
        <v>75</v>
      </c>
      <c r="C12" s="6">
        <v>30</v>
      </c>
      <c r="D12" s="6">
        <v>30</v>
      </c>
      <c r="E12" s="6">
        <f t="shared" si="0"/>
        <v>0</v>
      </c>
      <c r="F12" s="6">
        <v>30</v>
      </c>
      <c r="G12" s="6"/>
      <c r="H12" s="4"/>
    </row>
    <row r="13" spans="1:8" ht="20.100000000000001" customHeight="1" x14ac:dyDescent="0.25">
      <c r="A13" s="3"/>
      <c r="B13" s="3" t="s">
        <v>74</v>
      </c>
      <c r="C13" s="6">
        <v>130</v>
      </c>
      <c r="D13" s="6">
        <v>65</v>
      </c>
      <c r="E13" s="6">
        <f t="shared" si="0"/>
        <v>65</v>
      </c>
      <c r="F13" s="6">
        <v>65</v>
      </c>
      <c r="G13" s="6"/>
      <c r="H13" s="4"/>
    </row>
    <row r="14" spans="1:8" ht="20.100000000000001" customHeight="1" x14ac:dyDescent="0.25">
      <c r="A14" s="3"/>
      <c r="B14" s="3" t="s">
        <v>77</v>
      </c>
      <c r="C14" s="6">
        <v>20</v>
      </c>
      <c r="D14" s="6">
        <v>5</v>
      </c>
      <c r="E14" s="6">
        <f t="shared" si="0"/>
        <v>15</v>
      </c>
      <c r="F14" s="6"/>
      <c r="G14" s="6">
        <v>5</v>
      </c>
      <c r="H14" s="4"/>
    </row>
    <row r="15" spans="1:8" ht="20.100000000000001" customHeight="1" x14ac:dyDescent="0.25">
      <c r="A15" s="3"/>
      <c r="B15" s="3" t="s">
        <v>78</v>
      </c>
      <c r="C15" s="6">
        <v>80</v>
      </c>
      <c r="D15" s="6">
        <v>80</v>
      </c>
      <c r="E15" s="6">
        <v>80</v>
      </c>
      <c r="F15" s="6"/>
      <c r="G15" s="6">
        <v>80</v>
      </c>
      <c r="H15" s="4"/>
    </row>
    <row r="16" spans="1:8" ht="20.100000000000001" customHeight="1" x14ac:dyDescent="0.25">
      <c r="A16" s="3"/>
      <c r="B16" s="3" t="s">
        <v>79</v>
      </c>
      <c r="C16" s="6"/>
      <c r="D16" s="6">
        <v>8908</v>
      </c>
      <c r="E16" s="6" t="str">
        <f t="shared" si="0"/>
        <v/>
      </c>
      <c r="F16" s="6"/>
      <c r="G16" s="6">
        <v>8908</v>
      </c>
      <c r="H16" s="4"/>
    </row>
    <row r="17" spans="1:8" ht="20.100000000000001" customHeight="1" x14ac:dyDescent="0.25">
      <c r="A17" s="3"/>
      <c r="B17" s="3"/>
      <c r="C17" s="6"/>
      <c r="D17" s="6"/>
      <c r="E17" s="6" t="str">
        <f t="shared" si="0"/>
        <v/>
      </c>
      <c r="F17" s="6"/>
      <c r="G17" s="6"/>
      <c r="H17" s="4"/>
    </row>
    <row r="18" spans="1:8" ht="20.100000000000001" customHeight="1" x14ac:dyDescent="0.25">
      <c r="A18" s="3"/>
      <c r="B18" s="3"/>
      <c r="C18" s="6"/>
      <c r="D18" s="6"/>
      <c r="E18" s="6" t="str">
        <f t="shared" si="0"/>
        <v/>
      </c>
      <c r="F18" s="6"/>
      <c r="G18" s="6"/>
      <c r="H18" s="4"/>
    </row>
    <row r="19" spans="1:8" ht="20.100000000000001" customHeight="1" x14ac:dyDescent="0.25">
      <c r="A19" s="7" t="s">
        <v>9</v>
      </c>
      <c r="B19" s="7"/>
      <c r="C19" s="5">
        <f>SUM(C4:C18)</f>
        <v>1996</v>
      </c>
      <c r="D19" s="5">
        <f>SUM(D4:D18)</f>
        <v>9844</v>
      </c>
      <c r="E19" s="5">
        <f>SUM(E4:E18)</f>
        <v>1140</v>
      </c>
      <c r="F19" s="5">
        <f>SUM(F4:F18)</f>
        <v>281</v>
      </c>
      <c r="G19" s="5">
        <f>SUM(G4:G18)</f>
        <v>9563</v>
      </c>
      <c r="H19" s="5">
        <f>SUM(H4:H18)</f>
        <v>0</v>
      </c>
    </row>
    <row r="20" spans="1:8" ht="20.100000000000001" customHeight="1" x14ac:dyDescent="0.25"/>
    <row r="21" spans="1:8" ht="20.100000000000001" customHeight="1" x14ac:dyDescent="0.25"/>
    <row r="22" spans="1:8" ht="20.100000000000001" customHeight="1" x14ac:dyDescent="0.5">
      <c r="B22" s="10"/>
    </row>
    <row r="23" spans="1:8" ht="20.100000000000001" customHeight="1" x14ac:dyDescent="0.25"/>
    <row r="24" spans="1:8" ht="24" customHeight="1" x14ac:dyDescent="0.25"/>
  </sheetData>
  <mergeCells count="1">
    <mergeCell ref="A19:B19"/>
  </mergeCells>
  <pageMargins left="0.2" right="0.2" top="0.3" bottom="0.3" header="0.5" footer="0.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14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/>
      <c r="B4" s="3"/>
      <c r="C4" s="4"/>
      <c r="D4" s="4"/>
      <c r="E4" s="4" t="str">
        <f t="shared" ref="E4:E23" si="0">IF(C4="","",C4-D4)</f>
        <v/>
      </c>
      <c r="F4" s="4"/>
      <c r="G4" s="4"/>
      <c r="H4" s="4"/>
    </row>
    <row r="5" spans="1:8" ht="20.100000000000001" customHeight="1" x14ac:dyDescent="0.25">
      <c r="A5" s="3"/>
      <c r="B5" s="3"/>
      <c r="C5" s="4"/>
      <c r="D5" s="4"/>
      <c r="E5" s="4" t="str">
        <f t="shared" si="0"/>
        <v/>
      </c>
      <c r="F5" s="4"/>
      <c r="G5" s="4"/>
      <c r="H5" s="4"/>
    </row>
    <row r="6" spans="1:8" ht="20.100000000000001" customHeight="1" x14ac:dyDescent="0.25">
      <c r="A6" s="3"/>
      <c r="B6" s="3"/>
      <c r="C6" s="4"/>
      <c r="D6" s="4"/>
      <c r="E6" s="4" t="str">
        <f t="shared" si="0"/>
        <v/>
      </c>
      <c r="F6" s="4"/>
      <c r="G6" s="4"/>
      <c r="H6" s="4"/>
    </row>
    <row r="7" spans="1:8" ht="20.100000000000001" customHeight="1" x14ac:dyDescent="0.25">
      <c r="A7" s="3"/>
      <c r="B7" s="3"/>
      <c r="C7" s="4"/>
      <c r="D7" s="4"/>
      <c r="E7" s="4" t="str">
        <f t="shared" si="0"/>
        <v/>
      </c>
      <c r="F7" s="4"/>
      <c r="G7" s="4"/>
      <c r="H7" s="4"/>
    </row>
    <row r="8" spans="1:8" ht="20.100000000000001" customHeight="1" x14ac:dyDescent="0.25">
      <c r="A8" s="3"/>
      <c r="B8" s="3"/>
      <c r="C8" s="4"/>
      <c r="D8" s="4"/>
      <c r="E8" s="4" t="str">
        <f t="shared" si="0"/>
        <v/>
      </c>
      <c r="F8" s="4"/>
      <c r="G8" s="4"/>
      <c r="H8" s="4"/>
    </row>
    <row r="9" spans="1:8" ht="20.100000000000001" customHeight="1" x14ac:dyDescent="0.25">
      <c r="A9" s="3"/>
      <c r="B9" s="3"/>
      <c r="C9" s="4"/>
      <c r="D9" s="4"/>
      <c r="E9" s="4" t="str">
        <f t="shared" si="0"/>
        <v/>
      </c>
      <c r="F9" s="4"/>
      <c r="G9" s="4"/>
      <c r="H9" s="4"/>
    </row>
    <row r="10" spans="1:8" ht="20.100000000000001" customHeight="1" x14ac:dyDescent="0.25">
      <c r="A10" s="3"/>
      <c r="B10" s="3"/>
      <c r="C10" s="4"/>
      <c r="D10" s="4"/>
      <c r="E10" s="4" t="str">
        <f t="shared" si="0"/>
        <v/>
      </c>
      <c r="F10" s="4"/>
      <c r="G10" s="4"/>
      <c r="H10" s="4"/>
    </row>
    <row r="11" spans="1:8" ht="20.100000000000001" customHeight="1" x14ac:dyDescent="0.25">
      <c r="A11" s="3"/>
      <c r="B11" s="3"/>
      <c r="C11" s="4"/>
      <c r="D11" s="4"/>
      <c r="E11" s="4" t="str">
        <f t="shared" si="0"/>
        <v/>
      </c>
      <c r="F11" s="4"/>
      <c r="G11" s="4"/>
      <c r="H11" s="4"/>
    </row>
    <row r="12" spans="1:8" ht="20.100000000000001" customHeight="1" x14ac:dyDescent="0.25">
      <c r="A12" s="3"/>
      <c r="B12" s="3"/>
      <c r="C12" s="4"/>
      <c r="D12" s="4"/>
      <c r="E12" s="4" t="str">
        <f t="shared" si="0"/>
        <v/>
      </c>
      <c r="F12" s="4"/>
      <c r="G12" s="4"/>
      <c r="H12" s="4"/>
    </row>
    <row r="13" spans="1:8" ht="20.100000000000001" customHeight="1" x14ac:dyDescent="0.25">
      <c r="A13" s="3"/>
      <c r="B13" s="3"/>
      <c r="C13" s="4"/>
      <c r="D13" s="4"/>
      <c r="E13" s="4" t="str">
        <f t="shared" si="0"/>
        <v/>
      </c>
      <c r="F13" s="4"/>
      <c r="G13" s="4"/>
      <c r="H13" s="4"/>
    </row>
    <row r="14" spans="1:8" ht="20.100000000000001" customHeight="1" x14ac:dyDescent="0.25">
      <c r="A14" s="3"/>
      <c r="B14" s="3"/>
      <c r="C14" s="4"/>
      <c r="D14" s="4"/>
      <c r="E14" s="4" t="str">
        <f t="shared" si="0"/>
        <v/>
      </c>
      <c r="F14" s="4"/>
      <c r="G14" s="4"/>
      <c r="H14" s="4"/>
    </row>
    <row r="15" spans="1:8" ht="20.100000000000001" customHeight="1" x14ac:dyDescent="0.25">
      <c r="A15" s="3"/>
      <c r="B15" s="3"/>
      <c r="C15" s="4"/>
      <c r="D15" s="4"/>
      <c r="E15" s="4" t="str">
        <f t="shared" si="0"/>
        <v/>
      </c>
      <c r="F15" s="4"/>
      <c r="G15" s="4"/>
      <c r="H15" s="4"/>
    </row>
    <row r="16" spans="1:8" ht="20.100000000000001" customHeight="1" x14ac:dyDescent="0.25">
      <c r="A16" s="3"/>
      <c r="B16" s="3"/>
      <c r="C16" s="4"/>
      <c r="D16" s="4"/>
      <c r="E16" s="4" t="str">
        <f t="shared" si="0"/>
        <v/>
      </c>
      <c r="F16" s="4"/>
      <c r="G16" s="4"/>
      <c r="H16" s="4"/>
    </row>
    <row r="17" spans="1:8" ht="20.100000000000001" customHeight="1" x14ac:dyDescent="0.25">
      <c r="A17" s="3"/>
      <c r="B17" s="3"/>
      <c r="C17" s="4"/>
      <c r="D17" s="4"/>
      <c r="E17" s="4" t="str">
        <f t="shared" si="0"/>
        <v/>
      </c>
      <c r="F17" s="4"/>
      <c r="G17" s="4"/>
      <c r="H17" s="4"/>
    </row>
    <row r="18" spans="1:8" ht="20.100000000000001" customHeight="1" x14ac:dyDescent="0.25">
      <c r="A18" s="3"/>
      <c r="B18" s="3"/>
      <c r="C18" s="4"/>
      <c r="D18" s="4"/>
      <c r="E18" s="4" t="str">
        <f t="shared" si="0"/>
        <v/>
      </c>
      <c r="F18" s="4"/>
      <c r="G18" s="4"/>
      <c r="H18" s="4"/>
    </row>
    <row r="19" spans="1:8" ht="20.100000000000001" customHeight="1" x14ac:dyDescent="0.25">
      <c r="A19" s="3"/>
      <c r="B19" s="3"/>
      <c r="C19" s="4"/>
      <c r="D19" s="4"/>
      <c r="E19" s="4" t="str">
        <f t="shared" si="0"/>
        <v/>
      </c>
      <c r="F19" s="4"/>
      <c r="G19" s="4"/>
      <c r="H19" s="4"/>
    </row>
    <row r="20" spans="1:8" ht="20.100000000000001" customHeight="1" x14ac:dyDescent="0.25">
      <c r="A20" s="3"/>
      <c r="B20" s="3"/>
      <c r="C20" s="4"/>
      <c r="D20" s="4"/>
      <c r="E20" s="4" t="str">
        <f t="shared" si="0"/>
        <v/>
      </c>
      <c r="F20" s="4"/>
      <c r="G20" s="4"/>
      <c r="H20" s="4"/>
    </row>
    <row r="21" spans="1:8" ht="20.100000000000001" customHeight="1" x14ac:dyDescent="0.25">
      <c r="A21" s="3"/>
      <c r="B21" s="3"/>
      <c r="C21" s="4"/>
      <c r="D21" s="4"/>
      <c r="E21" s="4" t="str">
        <f t="shared" si="0"/>
        <v/>
      </c>
      <c r="F21" s="4"/>
      <c r="G21" s="4"/>
      <c r="H21" s="4"/>
    </row>
    <row r="22" spans="1:8" ht="20.100000000000001" customHeight="1" x14ac:dyDescent="0.25">
      <c r="A22" s="3"/>
      <c r="B22" s="3"/>
      <c r="C22" s="4"/>
      <c r="D22" s="4"/>
      <c r="E22" s="4" t="str">
        <f t="shared" si="0"/>
        <v/>
      </c>
      <c r="F22" s="4"/>
      <c r="G22" s="4"/>
      <c r="H22" s="4"/>
    </row>
    <row r="23" spans="1:8" ht="20.100000000000001" customHeight="1" x14ac:dyDescent="0.25">
      <c r="A23" s="3"/>
      <c r="B23" s="3"/>
      <c r="C23" s="4"/>
      <c r="D23" s="4"/>
      <c r="E23" s="4" t="str">
        <f t="shared" si="0"/>
        <v/>
      </c>
      <c r="F23" s="4"/>
      <c r="G23" s="4"/>
      <c r="H23" s="4"/>
    </row>
    <row r="24" spans="1:8" ht="24" customHeight="1" x14ac:dyDescent="0.25">
      <c r="A24" s="7" t="s">
        <v>9</v>
      </c>
      <c r="B24" s="7"/>
      <c r="C24" s="5">
        <f t="shared" ref="C24:H24" si="1">SUM(C4:C23)</f>
        <v>0</v>
      </c>
      <c r="D24" s="5">
        <f t="shared" si="1"/>
        <v>0</v>
      </c>
      <c r="E24" s="5">
        <f t="shared" si="1"/>
        <v>0</v>
      </c>
      <c r="F24" s="5">
        <f t="shared" si="1"/>
        <v>0</v>
      </c>
      <c r="G24" s="5">
        <f t="shared" si="1"/>
        <v>0</v>
      </c>
      <c r="H24" s="5">
        <f t="shared" si="1"/>
        <v>0</v>
      </c>
    </row>
  </sheetData>
  <mergeCells count="1">
    <mergeCell ref="A24:B24"/>
  </mergeCells>
  <pageMargins left="0.2" right="0.2" top="0.3" bottom="0.3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LUNES</vt:lpstr>
      <vt:lpstr>MARTES</vt:lpstr>
      <vt:lpstr>MIÉRCOLES</vt:lpstr>
      <vt:lpstr>JUEVES</vt:lpstr>
      <vt:lpstr>VIERNES</vt:lpstr>
      <vt:lpstr>SÁBADO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 IMPRESOS</cp:lastModifiedBy>
  <dcterms:created xsi:type="dcterms:W3CDTF">2026-08-17T17:43:32Z</dcterms:created>
  <dcterms:modified xsi:type="dcterms:W3CDTF">2026-08-29T01:53:19Z</dcterms:modified>
</cp:coreProperties>
</file>