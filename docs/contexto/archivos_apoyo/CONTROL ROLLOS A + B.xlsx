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REGISTROS\"/>
    </mc:Choice>
  </mc:AlternateContent>
  <xr:revisionPtr revIDLastSave="0" documentId="13_ncr:1_{A663208F-D55D-42E6-9FFD-976F4623D3DE}" xr6:coauthVersionLast="47" xr6:coauthVersionMax="47" xr10:uidLastSave="{00000000-0000-0000-0000-000000000000}"/>
  <bookViews>
    <workbookView xWindow="-120" yWindow="-120" windowWidth="26640" windowHeight="14370" activeTab="3" xr2:uid="{00000000-000D-0000-FFFF-FFFF00000000}"/>
  </bookViews>
  <sheets>
    <sheet name="Dashboard" sheetId="1" r:id="rId1"/>
    <sheet name="Registro de trabajos" sheetId="2" r:id="rId2"/>
    <sheet name="Control de rollos" sheetId="3" r:id="rId3"/>
    <sheet name="Configuración" sheetId="4" r:id="rId4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3" i="3" l="1"/>
  <c r="E103" i="3" s="1"/>
  <c r="A102" i="3"/>
  <c r="A101" i="3"/>
  <c r="A100" i="3"/>
  <c r="I100" i="3" s="1"/>
  <c r="A99" i="3"/>
  <c r="F99" i="3" s="1"/>
  <c r="A98" i="3"/>
  <c r="A97" i="3"/>
  <c r="A96" i="3"/>
  <c r="B96" i="3" s="1"/>
  <c r="A95" i="3"/>
  <c r="G95" i="3" s="1"/>
  <c r="A94" i="3"/>
  <c r="F94" i="3" s="1"/>
  <c r="A93" i="3"/>
  <c r="A92" i="3"/>
  <c r="B92" i="3" s="1"/>
  <c r="A91" i="3"/>
  <c r="A90" i="3"/>
  <c r="K90" i="3" s="1"/>
  <c r="A89" i="3"/>
  <c r="J89" i="3" s="1"/>
  <c r="A88" i="3"/>
  <c r="K88" i="3" s="1"/>
  <c r="A87" i="3"/>
  <c r="F87" i="3" s="1"/>
  <c r="A86" i="3"/>
  <c r="A85" i="3"/>
  <c r="G85" i="3" s="1"/>
  <c r="A84" i="3"/>
  <c r="A83" i="3"/>
  <c r="G83" i="3" s="1"/>
  <c r="A82" i="3"/>
  <c r="J82" i="3" s="1"/>
  <c r="A81" i="3"/>
  <c r="J81" i="3" s="1"/>
  <c r="A80" i="3"/>
  <c r="B80" i="3" s="1"/>
  <c r="K80" i="4" s="1"/>
  <c r="A79" i="3"/>
  <c r="A78" i="3"/>
  <c r="F78" i="3" s="1"/>
  <c r="A77" i="3"/>
  <c r="J77" i="3" s="1"/>
  <c r="A76" i="3"/>
  <c r="K76" i="3" s="1"/>
  <c r="A75" i="3"/>
  <c r="F75" i="3" s="1"/>
  <c r="A74" i="3"/>
  <c r="F74" i="3" s="1"/>
  <c r="A73" i="3"/>
  <c r="J73" i="3" s="1"/>
  <c r="A72" i="3"/>
  <c r="A71" i="3"/>
  <c r="G71" i="3" s="1"/>
  <c r="A70" i="3"/>
  <c r="L70" i="3" s="1"/>
  <c r="A69" i="3"/>
  <c r="J69" i="3" s="1"/>
  <c r="A68" i="3"/>
  <c r="B68" i="3" s="1"/>
  <c r="A67" i="3"/>
  <c r="A66" i="3"/>
  <c r="L66" i="3" s="1"/>
  <c r="A65" i="3"/>
  <c r="G65" i="3" s="1"/>
  <c r="A64" i="3"/>
  <c r="F64" i="3" s="1"/>
  <c r="A63" i="3"/>
  <c r="J63" i="3" s="1"/>
  <c r="A62" i="3"/>
  <c r="F62" i="3" s="1"/>
  <c r="A61" i="3"/>
  <c r="J61" i="3" s="1"/>
  <c r="A60" i="3"/>
  <c r="K60" i="3" s="1"/>
  <c r="A59" i="3"/>
  <c r="F59" i="3" s="1"/>
  <c r="A58" i="3"/>
  <c r="L58" i="3" s="1"/>
  <c r="A57" i="3"/>
  <c r="J57" i="3" s="1"/>
  <c r="A56" i="3"/>
  <c r="C56" i="3" s="1"/>
  <c r="A55" i="3"/>
  <c r="J55" i="3" s="1"/>
  <c r="A54" i="3"/>
  <c r="L54" i="3" s="1"/>
  <c r="A53" i="3"/>
  <c r="F53" i="3" s="1"/>
  <c r="A52" i="3"/>
  <c r="C52" i="3" s="1"/>
  <c r="A51" i="3"/>
  <c r="G51" i="3" s="1"/>
  <c r="A50" i="3"/>
  <c r="B50" i="3" s="1"/>
  <c r="J50" i="4" s="1"/>
  <c r="A49" i="3"/>
  <c r="J49" i="3" s="1"/>
  <c r="A48" i="3"/>
  <c r="F48" i="3" s="1"/>
  <c r="A47" i="3"/>
  <c r="A46" i="3"/>
  <c r="L46" i="3" s="1"/>
  <c r="A45" i="3"/>
  <c r="F45" i="3" s="1"/>
  <c r="A44" i="3"/>
  <c r="B44" i="3" s="1"/>
  <c r="A43" i="3"/>
  <c r="G43" i="3" s="1"/>
  <c r="A42" i="3"/>
  <c r="K42" i="3" s="1"/>
  <c r="A41" i="3"/>
  <c r="G41" i="3" s="1"/>
  <c r="A40" i="3"/>
  <c r="J40" i="3" s="1"/>
  <c r="A39" i="3"/>
  <c r="J39" i="3" s="1"/>
  <c r="A38" i="3"/>
  <c r="A37" i="3"/>
  <c r="G37" i="3" s="1"/>
  <c r="A36" i="3"/>
  <c r="J36" i="3" s="1"/>
  <c r="A35" i="3"/>
  <c r="F35" i="3" s="1"/>
  <c r="A34" i="3"/>
  <c r="J34" i="3" s="1"/>
  <c r="A33" i="3"/>
  <c r="A32" i="3"/>
  <c r="K32" i="3" s="1"/>
  <c r="A31" i="3"/>
  <c r="J31" i="3" s="1"/>
  <c r="A30" i="3"/>
  <c r="B30" i="3" s="1"/>
  <c r="A29" i="3"/>
  <c r="F29" i="3" s="1"/>
  <c r="A28" i="3"/>
  <c r="K28" i="3" s="1"/>
  <c r="A27" i="3"/>
  <c r="F27" i="3" s="1"/>
  <c r="A26" i="3"/>
  <c r="L26" i="3" s="1"/>
  <c r="A25" i="3"/>
  <c r="J25" i="3" s="1"/>
  <c r="A24" i="3"/>
  <c r="B24" i="3" s="1"/>
  <c r="A23" i="3"/>
  <c r="F23" i="3" s="1"/>
  <c r="A22" i="3"/>
  <c r="F22" i="3" s="1"/>
  <c r="A21" i="3"/>
  <c r="F21" i="3" s="1"/>
  <c r="A20" i="3"/>
  <c r="K20" i="3" s="1"/>
  <c r="A19" i="3"/>
  <c r="G19" i="3" s="1"/>
  <c r="A18" i="3"/>
  <c r="B18" i="3" s="1"/>
  <c r="J18" i="4" s="1"/>
  <c r="A17" i="3"/>
  <c r="J17" i="3" s="1"/>
  <c r="A16" i="3"/>
  <c r="F16" i="3" s="1"/>
  <c r="A15" i="3"/>
  <c r="J15" i="3" s="1"/>
  <c r="A14" i="3"/>
  <c r="B14" i="3" s="1"/>
  <c r="K14" i="4" s="1"/>
  <c r="A13" i="3"/>
  <c r="H13" i="3" s="1"/>
  <c r="A12" i="3"/>
  <c r="J12" i="3" s="1"/>
  <c r="A11" i="3"/>
  <c r="A10" i="3"/>
  <c r="B10" i="3" s="1"/>
  <c r="A9" i="3"/>
  <c r="B9" i="3" s="1"/>
  <c r="A8" i="3"/>
  <c r="M8" i="3" s="1"/>
  <c r="A7" i="3"/>
  <c r="A6" i="3"/>
  <c r="L6" i="3" s="1"/>
  <c r="A5" i="3"/>
  <c r="H5" i="3" s="1"/>
  <c r="E4" i="3"/>
  <c r="E18" i="1" s="1"/>
  <c r="B4" i="3"/>
  <c r="B18" i="1" s="1"/>
  <c r="B3" i="3"/>
  <c r="B17" i="1" s="1"/>
  <c r="I2" i="3"/>
  <c r="E2" i="3"/>
  <c r="B6" i="1" s="1"/>
  <c r="B2" i="3"/>
  <c r="J2" i="4" s="1"/>
  <c r="I18" i="1"/>
  <c r="D18" i="1"/>
  <c r="C18" i="1"/>
  <c r="A18" i="1"/>
  <c r="I17" i="1"/>
  <c r="E17" i="1"/>
  <c r="D17" i="1"/>
  <c r="C17" i="1"/>
  <c r="A17" i="1"/>
  <c r="I16" i="1"/>
  <c r="D16" i="1"/>
  <c r="C16" i="1"/>
  <c r="A16" i="1"/>
  <c r="B10" i="1"/>
  <c r="B11" i="1" s="1"/>
  <c r="B5" i="1"/>
  <c r="J99" i="3" l="1"/>
  <c r="J13" i="3"/>
  <c r="B26" i="3"/>
  <c r="J26" i="4" s="1"/>
  <c r="L22" i="3"/>
  <c r="B76" i="3"/>
  <c r="K76" i="4" s="1"/>
  <c r="F28" i="3"/>
  <c r="F40" i="3"/>
  <c r="K66" i="3"/>
  <c r="J28" i="3"/>
  <c r="J48" i="3"/>
  <c r="K40" i="3"/>
  <c r="K22" i="3"/>
  <c r="J43" i="3"/>
  <c r="F54" i="3"/>
  <c r="G99" i="3"/>
  <c r="C28" i="3"/>
  <c r="K34" i="3"/>
  <c r="H45" i="3"/>
  <c r="J45" i="3"/>
  <c r="K48" i="3"/>
  <c r="F31" i="3"/>
  <c r="B74" i="3"/>
  <c r="J74" i="4" s="1"/>
  <c r="J95" i="3"/>
  <c r="E16" i="1"/>
  <c r="J16" i="3"/>
  <c r="K64" i="3"/>
  <c r="J74" i="3"/>
  <c r="K16" i="3"/>
  <c r="M16" i="3"/>
  <c r="L34" i="3"/>
  <c r="F76" i="3"/>
  <c r="F88" i="3"/>
  <c r="I5" i="3"/>
  <c r="J76" i="3"/>
  <c r="J88" i="3"/>
  <c r="K74" i="3"/>
  <c r="G45" i="3"/>
  <c r="G31" i="3"/>
  <c r="H37" i="3"/>
  <c r="B20" i="3"/>
  <c r="K20" i="4" s="1"/>
  <c r="J37" i="3"/>
  <c r="K58" i="3"/>
  <c r="J22" i="3"/>
  <c r="C48" i="3"/>
  <c r="L10" i="3"/>
  <c r="F83" i="3"/>
  <c r="F12" i="3"/>
  <c r="J46" i="3"/>
  <c r="B42" i="3"/>
  <c r="J42" i="4" s="1"/>
  <c r="K46" i="3"/>
  <c r="J51" i="3"/>
  <c r="G57" i="3"/>
  <c r="G63" i="3"/>
  <c r="J92" i="3"/>
  <c r="F92" i="3"/>
  <c r="F25" i="3"/>
  <c r="K92" i="3"/>
  <c r="B100" i="3"/>
  <c r="J100" i="4" s="1"/>
  <c r="J5" i="3"/>
  <c r="F51" i="3"/>
  <c r="J83" i="3"/>
  <c r="K12" i="3"/>
  <c r="C36" i="3"/>
  <c r="F42" i="3"/>
  <c r="H57" i="3"/>
  <c r="G6" i="3"/>
  <c r="G25" i="3"/>
  <c r="F36" i="3"/>
  <c r="J42" i="3"/>
  <c r="J52" i="3"/>
  <c r="F100" i="3"/>
  <c r="B36" i="3"/>
  <c r="K36" i="4" s="1"/>
  <c r="F6" i="3"/>
  <c r="H6" i="3"/>
  <c r="H25" i="3"/>
  <c r="K52" i="3"/>
  <c r="J100" i="3"/>
  <c r="K100" i="3"/>
  <c r="L5" i="3"/>
  <c r="M6" i="3"/>
  <c r="K8" i="3"/>
  <c r="F81" i="3"/>
  <c r="J54" i="3"/>
  <c r="G81" i="3"/>
  <c r="F103" i="3"/>
  <c r="C16" i="3"/>
  <c r="B22" i="3"/>
  <c r="K22" i="4" s="1"/>
  <c r="F34" i="3"/>
  <c r="H49" i="3"/>
  <c r="K54" i="3"/>
  <c r="J60" i="3"/>
  <c r="G103" i="3"/>
  <c r="J103" i="3"/>
  <c r="J10" i="4"/>
  <c r="K10" i="4"/>
  <c r="K24" i="4"/>
  <c r="J24" i="4"/>
  <c r="K30" i="4"/>
  <c r="J30" i="4"/>
  <c r="H17" i="1"/>
  <c r="F17" i="1"/>
  <c r="G17" i="1" s="1"/>
  <c r="F18" i="1"/>
  <c r="G18" i="1" s="1"/>
  <c r="H18" i="1"/>
  <c r="K68" i="4"/>
  <c r="J68" i="4"/>
  <c r="K3" i="3"/>
  <c r="M7" i="3"/>
  <c r="L7" i="3"/>
  <c r="H7" i="3"/>
  <c r="F19" i="3"/>
  <c r="I56" i="3"/>
  <c r="H56" i="3"/>
  <c r="G56" i="3"/>
  <c r="E56" i="3"/>
  <c r="M56" i="3"/>
  <c r="L56" i="3"/>
  <c r="M62" i="3"/>
  <c r="I62" i="3"/>
  <c r="H62" i="3"/>
  <c r="G62" i="3"/>
  <c r="E62" i="3"/>
  <c r="C62" i="3"/>
  <c r="M65" i="3"/>
  <c r="L65" i="3"/>
  <c r="K65" i="3"/>
  <c r="I65" i="3"/>
  <c r="E65" i="3"/>
  <c r="C65" i="3"/>
  <c r="B65" i="3"/>
  <c r="E71" i="3"/>
  <c r="C71" i="3"/>
  <c r="B71" i="3"/>
  <c r="M71" i="3"/>
  <c r="L71" i="3"/>
  <c r="K71" i="3"/>
  <c r="I71" i="3"/>
  <c r="H71" i="3"/>
  <c r="M78" i="3"/>
  <c r="L78" i="3"/>
  <c r="I78" i="3"/>
  <c r="H78" i="3"/>
  <c r="G78" i="3"/>
  <c r="E78" i="3"/>
  <c r="C78" i="3"/>
  <c r="M85" i="3"/>
  <c r="L85" i="3"/>
  <c r="K85" i="3"/>
  <c r="I85" i="3"/>
  <c r="H85" i="3"/>
  <c r="E85" i="3"/>
  <c r="C85" i="3"/>
  <c r="B85" i="3"/>
  <c r="K92" i="4"/>
  <c r="J92" i="4"/>
  <c r="I68" i="3"/>
  <c r="H68" i="3"/>
  <c r="G68" i="3"/>
  <c r="E68" i="3"/>
  <c r="M68" i="3"/>
  <c r="L68" i="3"/>
  <c r="E11" i="3"/>
  <c r="C11" i="3"/>
  <c r="B11" i="3"/>
  <c r="M11" i="3"/>
  <c r="L11" i="3"/>
  <c r="K11" i="3"/>
  <c r="H11" i="3"/>
  <c r="K5" i="3"/>
  <c r="B7" i="3"/>
  <c r="M9" i="3"/>
  <c r="L9" i="3"/>
  <c r="K9" i="3"/>
  <c r="E9" i="3"/>
  <c r="C9" i="3"/>
  <c r="F11" i="3"/>
  <c r="M14" i="3"/>
  <c r="I14" i="3"/>
  <c r="H14" i="3"/>
  <c r="G14" i="3"/>
  <c r="C14" i="3"/>
  <c r="I44" i="3"/>
  <c r="H44" i="3"/>
  <c r="G44" i="3"/>
  <c r="E44" i="3"/>
  <c r="M44" i="3"/>
  <c r="L44" i="3"/>
  <c r="M50" i="3"/>
  <c r="I50" i="3"/>
  <c r="H50" i="3"/>
  <c r="G50" i="3"/>
  <c r="E50" i="3"/>
  <c r="C50" i="3"/>
  <c r="M53" i="3"/>
  <c r="L53" i="3"/>
  <c r="K53" i="3"/>
  <c r="I53" i="3"/>
  <c r="E53" i="3"/>
  <c r="C53" i="3"/>
  <c r="B53" i="3"/>
  <c r="B56" i="3"/>
  <c r="E59" i="3"/>
  <c r="C59" i="3"/>
  <c r="B59" i="3"/>
  <c r="M59" i="3"/>
  <c r="L59" i="3"/>
  <c r="K59" i="3"/>
  <c r="I59" i="3"/>
  <c r="H59" i="3"/>
  <c r="B62" i="3"/>
  <c r="F65" i="3"/>
  <c r="C68" i="3"/>
  <c r="F71" i="3"/>
  <c r="B78" i="3"/>
  <c r="F85" i="3"/>
  <c r="I96" i="3"/>
  <c r="H96" i="3"/>
  <c r="G96" i="3"/>
  <c r="E96" i="3"/>
  <c r="C96" i="3"/>
  <c r="M96" i="3"/>
  <c r="L96" i="3"/>
  <c r="C7" i="3"/>
  <c r="M38" i="3"/>
  <c r="I38" i="3"/>
  <c r="H38" i="3"/>
  <c r="G38" i="3"/>
  <c r="E38" i="3"/>
  <c r="C38" i="3"/>
  <c r="K44" i="4"/>
  <c r="J44" i="4"/>
  <c r="E47" i="3"/>
  <c r="C47" i="3"/>
  <c r="B47" i="3"/>
  <c r="M47" i="3"/>
  <c r="L47" i="3"/>
  <c r="K47" i="3"/>
  <c r="I47" i="3"/>
  <c r="H47" i="3"/>
  <c r="F68" i="3"/>
  <c r="K96" i="4"/>
  <c r="J96" i="4"/>
  <c r="J18" i="1"/>
  <c r="M5" i="3"/>
  <c r="E7" i="3"/>
  <c r="F9" i="3"/>
  <c r="I11" i="3"/>
  <c r="E14" i="3"/>
  <c r="I20" i="3"/>
  <c r="H20" i="3"/>
  <c r="G20" i="3"/>
  <c r="E20" i="3"/>
  <c r="M20" i="3"/>
  <c r="L20" i="3"/>
  <c r="M26" i="3"/>
  <c r="I26" i="3"/>
  <c r="H26" i="3"/>
  <c r="G26" i="3"/>
  <c r="E26" i="3"/>
  <c r="C26" i="3"/>
  <c r="M29" i="3"/>
  <c r="L29" i="3"/>
  <c r="K29" i="3"/>
  <c r="I29" i="3"/>
  <c r="E29" i="3"/>
  <c r="C29" i="3"/>
  <c r="B29" i="3"/>
  <c r="B32" i="3"/>
  <c r="E35" i="3"/>
  <c r="C35" i="3"/>
  <c r="B35" i="3"/>
  <c r="M35" i="3"/>
  <c r="L35" i="3"/>
  <c r="K35" i="3"/>
  <c r="I35" i="3"/>
  <c r="H35" i="3"/>
  <c r="B38" i="3"/>
  <c r="F41" i="3"/>
  <c r="C44" i="3"/>
  <c r="F47" i="3"/>
  <c r="F50" i="3"/>
  <c r="G53" i="3"/>
  <c r="F56" i="3"/>
  <c r="G59" i="3"/>
  <c r="J62" i="3"/>
  <c r="H65" i="3"/>
  <c r="J68" i="3"/>
  <c r="J71" i="3"/>
  <c r="E75" i="3"/>
  <c r="C75" i="3"/>
  <c r="B75" i="3"/>
  <c r="M75" i="3"/>
  <c r="L75" i="3"/>
  <c r="K75" i="3"/>
  <c r="I75" i="3"/>
  <c r="H75" i="3"/>
  <c r="J78" i="3"/>
  <c r="B82" i="3"/>
  <c r="J85" i="3"/>
  <c r="F89" i="3"/>
  <c r="F96" i="3"/>
  <c r="K2" i="4"/>
  <c r="F7" i="3"/>
  <c r="J11" i="3"/>
  <c r="F14" i="3"/>
  <c r="M17" i="3"/>
  <c r="L17" i="3"/>
  <c r="K17" i="3"/>
  <c r="I17" i="3"/>
  <c r="E17" i="3"/>
  <c r="C17" i="3"/>
  <c r="B17" i="3"/>
  <c r="C32" i="3"/>
  <c r="F38" i="3"/>
  <c r="F44" i="3"/>
  <c r="G47" i="3"/>
  <c r="J50" i="3"/>
  <c r="H53" i="3"/>
  <c r="J56" i="3"/>
  <c r="J59" i="3"/>
  <c r="K62" i="3"/>
  <c r="J65" i="3"/>
  <c r="K68" i="3"/>
  <c r="I72" i="3"/>
  <c r="H72" i="3"/>
  <c r="G72" i="3"/>
  <c r="E72" i="3"/>
  <c r="M72" i="3"/>
  <c r="L72" i="3"/>
  <c r="K78" i="3"/>
  <c r="F82" i="3"/>
  <c r="M86" i="3"/>
  <c r="L86" i="3"/>
  <c r="I86" i="3"/>
  <c r="H86" i="3"/>
  <c r="G86" i="3"/>
  <c r="E86" i="3"/>
  <c r="C86" i="3"/>
  <c r="G89" i="3"/>
  <c r="M93" i="3"/>
  <c r="L93" i="3"/>
  <c r="K93" i="3"/>
  <c r="I93" i="3"/>
  <c r="H93" i="3"/>
  <c r="E93" i="3"/>
  <c r="C93" i="3"/>
  <c r="B93" i="3"/>
  <c r="J96" i="3"/>
  <c r="M41" i="3"/>
  <c r="L41" i="3"/>
  <c r="K41" i="3"/>
  <c r="I41" i="3"/>
  <c r="E41" i="3"/>
  <c r="C41" i="3"/>
  <c r="B41" i="3"/>
  <c r="B6" i="3"/>
  <c r="G7" i="3"/>
  <c r="I12" i="3"/>
  <c r="H12" i="3"/>
  <c r="G12" i="3"/>
  <c r="E12" i="3"/>
  <c r="L12" i="3"/>
  <c r="J14" i="3"/>
  <c r="F17" i="3"/>
  <c r="C20" i="3"/>
  <c r="F26" i="3"/>
  <c r="G29" i="3"/>
  <c r="F32" i="3"/>
  <c r="G35" i="3"/>
  <c r="J38" i="3"/>
  <c r="H41" i="3"/>
  <c r="J44" i="3"/>
  <c r="J47" i="3"/>
  <c r="K50" i="3"/>
  <c r="J53" i="3"/>
  <c r="K56" i="3"/>
  <c r="I60" i="3"/>
  <c r="H60" i="3"/>
  <c r="G60" i="3"/>
  <c r="E60" i="3"/>
  <c r="M60" i="3"/>
  <c r="L60" i="3"/>
  <c r="L62" i="3"/>
  <c r="M66" i="3"/>
  <c r="I66" i="3"/>
  <c r="H66" i="3"/>
  <c r="G66" i="3"/>
  <c r="E66" i="3"/>
  <c r="C66" i="3"/>
  <c r="M69" i="3"/>
  <c r="L69" i="3"/>
  <c r="K69" i="3"/>
  <c r="I69" i="3"/>
  <c r="E69" i="3"/>
  <c r="C69" i="3"/>
  <c r="B69" i="3"/>
  <c r="B72" i="3"/>
  <c r="G75" i="3"/>
  <c r="E79" i="3"/>
  <c r="C79" i="3"/>
  <c r="B79" i="3"/>
  <c r="M79" i="3"/>
  <c r="L79" i="3"/>
  <c r="K79" i="3"/>
  <c r="I79" i="3"/>
  <c r="H79" i="3"/>
  <c r="B86" i="3"/>
  <c r="F93" i="3"/>
  <c r="K96" i="3"/>
  <c r="M82" i="3"/>
  <c r="L82" i="3"/>
  <c r="I82" i="3"/>
  <c r="H82" i="3"/>
  <c r="G82" i="3"/>
  <c r="E82" i="3"/>
  <c r="C82" i="3"/>
  <c r="M89" i="3"/>
  <c r="L89" i="3"/>
  <c r="K89" i="3"/>
  <c r="I89" i="3"/>
  <c r="H89" i="3"/>
  <c r="E89" i="3"/>
  <c r="C89" i="3"/>
  <c r="B89" i="3"/>
  <c r="F4" i="3"/>
  <c r="L4" i="3" s="1"/>
  <c r="G9" i="3"/>
  <c r="E23" i="3"/>
  <c r="C23" i="3"/>
  <c r="B23" i="3"/>
  <c r="M23" i="3"/>
  <c r="L23" i="3"/>
  <c r="K23" i="3"/>
  <c r="I23" i="3"/>
  <c r="H23" i="3"/>
  <c r="F2" i="3"/>
  <c r="B7" i="1" s="1"/>
  <c r="K4" i="3"/>
  <c r="C6" i="3"/>
  <c r="I7" i="3"/>
  <c r="I9" i="3"/>
  <c r="B12" i="3"/>
  <c r="K14" i="3"/>
  <c r="G17" i="3"/>
  <c r="F20" i="3"/>
  <c r="G23" i="3"/>
  <c r="J26" i="3"/>
  <c r="H29" i="3"/>
  <c r="J32" i="3"/>
  <c r="J35" i="3"/>
  <c r="K38" i="3"/>
  <c r="J41" i="3"/>
  <c r="K44" i="3"/>
  <c r="I48" i="3"/>
  <c r="H48" i="3"/>
  <c r="G48" i="3"/>
  <c r="E48" i="3"/>
  <c r="M48" i="3"/>
  <c r="L48" i="3"/>
  <c r="L50" i="3"/>
  <c r="M54" i="3"/>
  <c r="I54" i="3"/>
  <c r="H54" i="3"/>
  <c r="G54" i="3"/>
  <c r="E54" i="3"/>
  <c r="C54" i="3"/>
  <c r="M57" i="3"/>
  <c r="L57" i="3"/>
  <c r="K57" i="3"/>
  <c r="I57" i="3"/>
  <c r="E57" i="3"/>
  <c r="C57" i="3"/>
  <c r="B57" i="3"/>
  <c r="B60" i="3"/>
  <c r="E63" i="3"/>
  <c r="C63" i="3"/>
  <c r="B63" i="3"/>
  <c r="M63" i="3"/>
  <c r="L63" i="3"/>
  <c r="K63" i="3"/>
  <c r="I63" i="3"/>
  <c r="H63" i="3"/>
  <c r="B66" i="3"/>
  <c r="F69" i="3"/>
  <c r="C72" i="3"/>
  <c r="J75" i="3"/>
  <c r="F79" i="3"/>
  <c r="K82" i="3"/>
  <c r="F86" i="3"/>
  <c r="M90" i="3"/>
  <c r="L90" i="3"/>
  <c r="I90" i="3"/>
  <c r="H90" i="3"/>
  <c r="G90" i="3"/>
  <c r="E90" i="3"/>
  <c r="C90" i="3"/>
  <c r="G93" i="3"/>
  <c r="M97" i="3"/>
  <c r="L97" i="3"/>
  <c r="K97" i="3"/>
  <c r="I97" i="3"/>
  <c r="H97" i="3"/>
  <c r="E97" i="3"/>
  <c r="C97" i="3"/>
  <c r="B97" i="3"/>
  <c r="H9" i="3"/>
  <c r="B16" i="1"/>
  <c r="E6" i="3"/>
  <c r="J7" i="3"/>
  <c r="J9" i="3"/>
  <c r="C12" i="3"/>
  <c r="L14" i="3"/>
  <c r="H17" i="3"/>
  <c r="J20" i="3"/>
  <c r="J23" i="3"/>
  <c r="K26" i="3"/>
  <c r="J29" i="3"/>
  <c r="I36" i="3"/>
  <c r="H36" i="3"/>
  <c r="G36" i="3"/>
  <c r="E36" i="3"/>
  <c r="M36" i="3"/>
  <c r="L36" i="3"/>
  <c r="L38" i="3"/>
  <c r="M42" i="3"/>
  <c r="I42" i="3"/>
  <c r="H42" i="3"/>
  <c r="G42" i="3"/>
  <c r="E42" i="3"/>
  <c r="C42" i="3"/>
  <c r="M45" i="3"/>
  <c r="L45" i="3"/>
  <c r="K45" i="3"/>
  <c r="I45" i="3"/>
  <c r="E45" i="3"/>
  <c r="C45" i="3"/>
  <c r="B45" i="3"/>
  <c r="B48" i="3"/>
  <c r="E51" i="3"/>
  <c r="C51" i="3"/>
  <c r="B51" i="3"/>
  <c r="M51" i="3"/>
  <c r="L51" i="3"/>
  <c r="K51" i="3"/>
  <c r="I51" i="3"/>
  <c r="H51" i="3"/>
  <c r="B54" i="3"/>
  <c r="F57" i="3"/>
  <c r="C60" i="3"/>
  <c r="F63" i="3"/>
  <c r="F66" i="3"/>
  <c r="G69" i="3"/>
  <c r="F72" i="3"/>
  <c r="I76" i="3"/>
  <c r="H76" i="3"/>
  <c r="G76" i="3"/>
  <c r="E76" i="3"/>
  <c r="C76" i="3"/>
  <c r="M76" i="3"/>
  <c r="L76" i="3"/>
  <c r="G79" i="3"/>
  <c r="E83" i="3"/>
  <c r="C83" i="3"/>
  <c r="B83" i="3"/>
  <c r="M83" i="3"/>
  <c r="L83" i="3"/>
  <c r="K83" i="3"/>
  <c r="I83" i="3"/>
  <c r="H83" i="3"/>
  <c r="J86" i="3"/>
  <c r="B90" i="3"/>
  <c r="J93" i="3"/>
  <c r="F97" i="3"/>
  <c r="F60" i="3"/>
  <c r="J66" i="3"/>
  <c r="H69" i="3"/>
  <c r="J72" i="3"/>
  <c r="J79" i="3"/>
  <c r="K86" i="3"/>
  <c r="F90" i="3"/>
  <c r="M94" i="3"/>
  <c r="L94" i="3"/>
  <c r="I94" i="3"/>
  <c r="H94" i="3"/>
  <c r="G94" i="3"/>
  <c r="E94" i="3"/>
  <c r="C94" i="3"/>
  <c r="G97" i="3"/>
  <c r="M101" i="3"/>
  <c r="L101" i="3"/>
  <c r="K101" i="3"/>
  <c r="I101" i="3"/>
  <c r="H101" i="3"/>
  <c r="F101" i="3"/>
  <c r="E101" i="3"/>
  <c r="C101" i="3"/>
  <c r="B101" i="3"/>
  <c r="J14" i="4"/>
  <c r="E19" i="3"/>
  <c r="C19" i="3"/>
  <c r="B19" i="3"/>
  <c r="M19" i="3"/>
  <c r="L19" i="3"/>
  <c r="K19" i="3"/>
  <c r="I19" i="3"/>
  <c r="H19" i="3"/>
  <c r="G11" i="3"/>
  <c r="J19" i="3"/>
  <c r="M33" i="3"/>
  <c r="L33" i="3"/>
  <c r="K33" i="3"/>
  <c r="I33" i="3"/>
  <c r="E33" i="3"/>
  <c r="C33" i="3"/>
  <c r="B33" i="3"/>
  <c r="B5" i="3"/>
  <c r="I8" i="3"/>
  <c r="H8" i="3"/>
  <c r="G8" i="3"/>
  <c r="L8" i="3"/>
  <c r="F15" i="3"/>
  <c r="M18" i="3"/>
  <c r="I18" i="3"/>
  <c r="H18" i="3"/>
  <c r="G18" i="3"/>
  <c r="E18" i="3"/>
  <c r="C18" i="3"/>
  <c r="M21" i="3"/>
  <c r="L21" i="3"/>
  <c r="K21" i="3"/>
  <c r="I21" i="3"/>
  <c r="E21" i="3"/>
  <c r="C21" i="3"/>
  <c r="B21" i="3"/>
  <c r="E27" i="3"/>
  <c r="C27" i="3"/>
  <c r="B27" i="3"/>
  <c r="M27" i="3"/>
  <c r="L27" i="3"/>
  <c r="K27" i="3"/>
  <c r="I27" i="3"/>
  <c r="H27" i="3"/>
  <c r="F33" i="3"/>
  <c r="F39" i="3"/>
  <c r="K72" i="3"/>
  <c r="I80" i="3"/>
  <c r="H80" i="3"/>
  <c r="G80" i="3"/>
  <c r="E80" i="3"/>
  <c r="C80" i="3"/>
  <c r="M80" i="3"/>
  <c r="L80" i="3"/>
  <c r="E87" i="3"/>
  <c r="C87" i="3"/>
  <c r="B87" i="3"/>
  <c r="M87" i="3"/>
  <c r="L87" i="3"/>
  <c r="K87" i="3"/>
  <c r="I87" i="3"/>
  <c r="H87" i="3"/>
  <c r="J90" i="3"/>
  <c r="B94" i="3"/>
  <c r="J97" i="3"/>
  <c r="G101" i="3"/>
  <c r="M98" i="3"/>
  <c r="L98" i="3"/>
  <c r="I98" i="3"/>
  <c r="H98" i="3"/>
  <c r="G98" i="3"/>
  <c r="E98" i="3"/>
  <c r="C98" i="3"/>
  <c r="J101" i="3"/>
  <c r="J80" i="4"/>
  <c r="K9" i="4"/>
  <c r="J9" i="4"/>
  <c r="M10" i="3"/>
  <c r="I10" i="3"/>
  <c r="H10" i="3"/>
  <c r="C10" i="3"/>
  <c r="I24" i="3"/>
  <c r="H24" i="3"/>
  <c r="G24" i="3"/>
  <c r="E24" i="3"/>
  <c r="M24" i="3"/>
  <c r="L24" i="3"/>
  <c r="M30" i="3"/>
  <c r="I30" i="3"/>
  <c r="H30" i="3"/>
  <c r="G30" i="3"/>
  <c r="E30" i="3"/>
  <c r="C30" i="3"/>
  <c r="C5" i="3"/>
  <c r="F30" i="3"/>
  <c r="M70" i="3"/>
  <c r="I70" i="3"/>
  <c r="H70" i="3"/>
  <c r="G70" i="3"/>
  <c r="E70" i="3"/>
  <c r="C70" i="3"/>
  <c r="I6" i="3"/>
  <c r="G21" i="3"/>
  <c r="H33" i="3"/>
  <c r="M58" i="3"/>
  <c r="I58" i="3"/>
  <c r="H58" i="3"/>
  <c r="G58" i="3"/>
  <c r="E58" i="3"/>
  <c r="C58" i="3"/>
  <c r="M61" i="3"/>
  <c r="L61" i="3"/>
  <c r="K61" i="3"/>
  <c r="I61" i="3"/>
  <c r="E61" i="3"/>
  <c r="C61" i="3"/>
  <c r="B61" i="3"/>
  <c r="B64" i="3"/>
  <c r="E67" i="3"/>
  <c r="C67" i="3"/>
  <c r="B67" i="3"/>
  <c r="M67" i="3"/>
  <c r="L67" i="3"/>
  <c r="K67" i="3"/>
  <c r="I67" i="3"/>
  <c r="H67" i="3"/>
  <c r="B70" i="3"/>
  <c r="F73" i="3"/>
  <c r="F80" i="3"/>
  <c r="I84" i="3"/>
  <c r="H84" i="3"/>
  <c r="G84" i="3"/>
  <c r="E84" i="3"/>
  <c r="C84" i="3"/>
  <c r="M84" i="3"/>
  <c r="L84" i="3"/>
  <c r="G87" i="3"/>
  <c r="E91" i="3"/>
  <c r="C91" i="3"/>
  <c r="B91" i="3"/>
  <c r="M91" i="3"/>
  <c r="L91" i="3"/>
  <c r="K91" i="3"/>
  <c r="I91" i="3"/>
  <c r="H91" i="3"/>
  <c r="J94" i="3"/>
  <c r="B98" i="3"/>
  <c r="M102" i="3"/>
  <c r="L102" i="3"/>
  <c r="J102" i="3"/>
  <c r="I102" i="3"/>
  <c r="H102" i="3"/>
  <c r="G102" i="3"/>
  <c r="E102" i="3"/>
  <c r="C102" i="3"/>
  <c r="K18" i="4"/>
  <c r="K50" i="4"/>
  <c r="G33" i="3"/>
  <c r="E5" i="3"/>
  <c r="F10" i="3"/>
  <c r="M12" i="3"/>
  <c r="I15" i="3"/>
  <c r="F24" i="3"/>
  <c r="G27" i="3"/>
  <c r="J30" i="3"/>
  <c r="L2" i="3"/>
  <c r="F5" i="3"/>
  <c r="J6" i="3"/>
  <c r="E8" i="3"/>
  <c r="G10" i="3"/>
  <c r="M13" i="3"/>
  <c r="L13" i="3"/>
  <c r="K13" i="3"/>
  <c r="I13" i="3"/>
  <c r="E13" i="3"/>
  <c r="C13" i="3"/>
  <c r="B13" i="3"/>
  <c r="J18" i="3"/>
  <c r="H21" i="3"/>
  <c r="J24" i="3"/>
  <c r="J27" i="3"/>
  <c r="K30" i="3"/>
  <c r="J33" i="3"/>
  <c r="K36" i="3"/>
  <c r="I40" i="3"/>
  <c r="H40" i="3"/>
  <c r="G40" i="3"/>
  <c r="E40" i="3"/>
  <c r="M40" i="3"/>
  <c r="L40" i="3"/>
  <c r="L42" i="3"/>
  <c r="M46" i="3"/>
  <c r="I46" i="3"/>
  <c r="H46" i="3"/>
  <c r="G46" i="3"/>
  <c r="E46" i="3"/>
  <c r="C46" i="3"/>
  <c r="M49" i="3"/>
  <c r="L49" i="3"/>
  <c r="K49" i="3"/>
  <c r="I49" i="3"/>
  <c r="E49" i="3"/>
  <c r="C49" i="3"/>
  <c r="B49" i="3"/>
  <c r="B52" i="3"/>
  <c r="E55" i="3"/>
  <c r="C55" i="3"/>
  <c r="B55" i="3"/>
  <c r="M55" i="3"/>
  <c r="L55" i="3"/>
  <c r="K55" i="3"/>
  <c r="I55" i="3"/>
  <c r="H55" i="3"/>
  <c r="B58" i="3"/>
  <c r="F61" i="3"/>
  <c r="C64" i="3"/>
  <c r="F67" i="3"/>
  <c r="F70" i="3"/>
  <c r="G73" i="3"/>
  <c r="M77" i="3"/>
  <c r="L77" i="3"/>
  <c r="K77" i="3"/>
  <c r="I77" i="3"/>
  <c r="H77" i="3"/>
  <c r="E77" i="3"/>
  <c r="C77" i="3"/>
  <c r="B77" i="3"/>
  <c r="J80" i="3"/>
  <c r="B84" i="3"/>
  <c r="J87" i="3"/>
  <c r="F91" i="3"/>
  <c r="K94" i="3"/>
  <c r="F98" i="3"/>
  <c r="B102" i="3"/>
  <c r="K3" i="4"/>
  <c r="J3" i="4"/>
  <c r="G5" i="3"/>
  <c r="K6" i="3"/>
  <c r="F8" i="3"/>
  <c r="J10" i="3"/>
  <c r="F13" i="3"/>
  <c r="I16" i="3"/>
  <c r="H16" i="3"/>
  <c r="G16" i="3"/>
  <c r="E16" i="3"/>
  <c r="L16" i="3"/>
  <c r="K18" i="3"/>
  <c r="J21" i="3"/>
  <c r="K24" i="3"/>
  <c r="I28" i="3"/>
  <c r="H28" i="3"/>
  <c r="G28" i="3"/>
  <c r="E28" i="3"/>
  <c r="M28" i="3"/>
  <c r="L28" i="3"/>
  <c r="L30" i="3"/>
  <c r="M34" i="3"/>
  <c r="I34" i="3"/>
  <c r="H34" i="3"/>
  <c r="G34" i="3"/>
  <c r="E34" i="3"/>
  <c r="C34" i="3"/>
  <c r="M37" i="3"/>
  <c r="L37" i="3"/>
  <c r="K37" i="3"/>
  <c r="I37" i="3"/>
  <c r="E37" i="3"/>
  <c r="C37" i="3"/>
  <c r="B37" i="3"/>
  <c r="B40" i="3"/>
  <c r="E43" i="3"/>
  <c r="C43" i="3"/>
  <c r="B43" i="3"/>
  <c r="M43" i="3"/>
  <c r="L43" i="3"/>
  <c r="K43" i="3"/>
  <c r="I43" i="3"/>
  <c r="H43" i="3"/>
  <c r="B46" i="3"/>
  <c r="F49" i="3"/>
  <c r="F55" i="3"/>
  <c r="F58" i="3"/>
  <c r="G61" i="3"/>
  <c r="G67" i="3"/>
  <c r="J70" i="3"/>
  <c r="F77" i="3"/>
  <c r="K80" i="3"/>
  <c r="F84" i="3"/>
  <c r="I88" i="3"/>
  <c r="H88" i="3"/>
  <c r="G88" i="3"/>
  <c r="E88" i="3"/>
  <c r="C88" i="3"/>
  <c r="M88" i="3"/>
  <c r="L88" i="3"/>
  <c r="G91" i="3"/>
  <c r="E95" i="3"/>
  <c r="C95" i="3"/>
  <c r="B95" i="3"/>
  <c r="M95" i="3"/>
  <c r="L95" i="3"/>
  <c r="K95" i="3"/>
  <c r="I95" i="3"/>
  <c r="H95" i="3"/>
  <c r="J98" i="3"/>
  <c r="F102" i="3"/>
  <c r="K4" i="4"/>
  <c r="J4" i="4"/>
  <c r="I32" i="3"/>
  <c r="H32" i="3"/>
  <c r="G32" i="3"/>
  <c r="E32" i="3"/>
  <c r="M32" i="3"/>
  <c r="L32" i="3"/>
  <c r="H2" i="3"/>
  <c r="J2" i="3" s="1"/>
  <c r="K7" i="3"/>
  <c r="E15" i="3"/>
  <c r="C15" i="3"/>
  <c r="B15" i="3"/>
  <c r="M15" i="3"/>
  <c r="L15" i="3"/>
  <c r="K15" i="3"/>
  <c r="H15" i="3"/>
  <c r="E39" i="3"/>
  <c r="C39" i="3"/>
  <c r="B39" i="3"/>
  <c r="M39" i="3"/>
  <c r="L39" i="3"/>
  <c r="K39" i="3"/>
  <c r="I39" i="3"/>
  <c r="H39" i="3"/>
  <c r="J17" i="1"/>
  <c r="B8" i="3"/>
  <c r="E10" i="3"/>
  <c r="G15" i="3"/>
  <c r="C24" i="3"/>
  <c r="G39" i="3"/>
  <c r="I64" i="3"/>
  <c r="H64" i="3"/>
  <c r="G64" i="3"/>
  <c r="E64" i="3"/>
  <c r="M64" i="3"/>
  <c r="L64" i="3"/>
  <c r="M73" i="3"/>
  <c r="L73" i="3"/>
  <c r="K73" i="3"/>
  <c r="I73" i="3"/>
  <c r="H73" i="3"/>
  <c r="E73" i="3"/>
  <c r="C73" i="3"/>
  <c r="B73" i="3"/>
  <c r="K2" i="3"/>
  <c r="B9" i="1" s="1"/>
  <c r="C8" i="3"/>
  <c r="F18" i="3"/>
  <c r="I52" i="3"/>
  <c r="H52" i="3"/>
  <c r="G52" i="3"/>
  <c r="E52" i="3"/>
  <c r="M52" i="3"/>
  <c r="L52" i="3"/>
  <c r="B4" i="1"/>
  <c r="F3" i="3"/>
  <c r="J8" i="3"/>
  <c r="K10" i="3"/>
  <c r="G13" i="3"/>
  <c r="B16" i="3"/>
  <c r="L18" i="3"/>
  <c r="M22" i="3"/>
  <c r="I22" i="3"/>
  <c r="H22" i="3"/>
  <c r="G22" i="3"/>
  <c r="E22" i="3"/>
  <c r="C22" i="3"/>
  <c r="M25" i="3"/>
  <c r="L25" i="3"/>
  <c r="K25" i="3"/>
  <c r="I25" i="3"/>
  <c r="E25" i="3"/>
  <c r="C25" i="3"/>
  <c r="B25" i="3"/>
  <c r="B28" i="3"/>
  <c r="E31" i="3"/>
  <c r="C31" i="3"/>
  <c r="B31" i="3"/>
  <c r="M31" i="3"/>
  <c r="L31" i="3"/>
  <c r="K31" i="3"/>
  <c r="I31" i="3"/>
  <c r="H31" i="3"/>
  <c r="B34" i="3"/>
  <c r="F37" i="3"/>
  <c r="C40" i="3"/>
  <c r="F43" i="3"/>
  <c r="F46" i="3"/>
  <c r="G49" i="3"/>
  <c r="F52" i="3"/>
  <c r="G55" i="3"/>
  <c r="J58" i="3"/>
  <c r="H61" i="3"/>
  <c r="J64" i="3"/>
  <c r="J67" i="3"/>
  <c r="K70" i="3"/>
  <c r="M74" i="3"/>
  <c r="L74" i="3"/>
  <c r="I74" i="3"/>
  <c r="H74" i="3"/>
  <c r="G74" i="3"/>
  <c r="E74" i="3"/>
  <c r="C74" i="3"/>
  <c r="G77" i="3"/>
  <c r="M81" i="3"/>
  <c r="L81" i="3"/>
  <c r="K81" i="3"/>
  <c r="I81" i="3"/>
  <c r="H81" i="3"/>
  <c r="E81" i="3"/>
  <c r="C81" i="3"/>
  <c r="B81" i="3"/>
  <c r="J84" i="3"/>
  <c r="B88" i="3"/>
  <c r="J91" i="3"/>
  <c r="F95" i="3"/>
  <c r="K98" i="3"/>
  <c r="K102" i="3"/>
  <c r="K84" i="3"/>
  <c r="I92" i="3"/>
  <c r="H92" i="3"/>
  <c r="G92" i="3"/>
  <c r="E92" i="3"/>
  <c r="C92" i="3"/>
  <c r="M92" i="3"/>
  <c r="L92" i="3"/>
  <c r="E99" i="3"/>
  <c r="C99" i="3"/>
  <c r="B99" i="3"/>
  <c r="M99" i="3"/>
  <c r="L99" i="3"/>
  <c r="K99" i="3"/>
  <c r="I99" i="3"/>
  <c r="H99" i="3"/>
  <c r="L100" i="3"/>
  <c r="H103" i="3"/>
  <c r="M100" i="3"/>
  <c r="I103" i="3"/>
  <c r="K103" i="3"/>
  <c r="L103" i="3"/>
  <c r="M103" i="3"/>
  <c r="C100" i="3"/>
  <c r="E100" i="3"/>
  <c r="G100" i="3"/>
  <c r="B103" i="3"/>
  <c r="H100" i="3"/>
  <c r="C103" i="3"/>
  <c r="K26" i="4" l="1"/>
  <c r="J36" i="4"/>
  <c r="J20" i="4"/>
  <c r="K100" i="4"/>
  <c r="J22" i="4"/>
  <c r="K74" i="4"/>
  <c r="J76" i="4"/>
  <c r="K42" i="4"/>
  <c r="G4" i="3"/>
  <c r="J82" i="4"/>
  <c r="K82" i="4"/>
  <c r="K47" i="4"/>
  <c r="J47" i="4"/>
  <c r="K7" i="4"/>
  <c r="J7" i="4"/>
  <c r="K56" i="4"/>
  <c r="J56" i="4"/>
  <c r="K67" i="4"/>
  <c r="J67" i="4"/>
  <c r="K85" i="4"/>
  <c r="J85" i="4"/>
  <c r="J34" i="4"/>
  <c r="K34" i="4"/>
  <c r="K39" i="4"/>
  <c r="J39" i="4"/>
  <c r="K87" i="4"/>
  <c r="J87" i="4"/>
  <c r="K54" i="4"/>
  <c r="J54" i="4"/>
  <c r="K84" i="4"/>
  <c r="J84" i="4"/>
  <c r="K61" i="4"/>
  <c r="J61" i="4"/>
  <c r="K27" i="4"/>
  <c r="J27" i="4"/>
  <c r="K79" i="4"/>
  <c r="J79" i="4"/>
  <c r="K41" i="4"/>
  <c r="J41" i="4"/>
  <c r="K38" i="4"/>
  <c r="J38" i="4"/>
  <c r="K71" i="4"/>
  <c r="J71" i="4"/>
  <c r="K46" i="4"/>
  <c r="J46" i="4"/>
  <c r="K11" i="4"/>
  <c r="J11" i="4"/>
  <c r="K81" i="4"/>
  <c r="J81" i="4"/>
  <c r="K77" i="4"/>
  <c r="J77" i="4"/>
  <c r="K98" i="4"/>
  <c r="J98" i="4"/>
  <c r="K75" i="4"/>
  <c r="J75" i="4"/>
  <c r="K88" i="4"/>
  <c r="J88" i="4"/>
  <c r="K43" i="4"/>
  <c r="J43" i="4"/>
  <c r="K21" i="4"/>
  <c r="J21" i="4"/>
  <c r="K62" i="4"/>
  <c r="J62" i="4"/>
  <c r="K65" i="4"/>
  <c r="J65" i="4"/>
  <c r="K78" i="4"/>
  <c r="J78" i="4"/>
  <c r="K13" i="4"/>
  <c r="J13" i="4"/>
  <c r="K19" i="4"/>
  <c r="J19" i="4"/>
  <c r="K51" i="4"/>
  <c r="J51" i="4"/>
  <c r="K23" i="4"/>
  <c r="J23" i="4"/>
  <c r="K72" i="4"/>
  <c r="J72" i="4"/>
  <c r="G2" i="3"/>
  <c r="B8" i="1" s="1"/>
  <c r="K64" i="4"/>
  <c r="J64" i="4"/>
  <c r="K31" i="4"/>
  <c r="J31" i="4"/>
  <c r="K73" i="4"/>
  <c r="J73" i="4"/>
  <c r="K15" i="4"/>
  <c r="J15" i="4"/>
  <c r="K55" i="4"/>
  <c r="J55" i="4"/>
  <c r="K5" i="4"/>
  <c r="J5" i="4"/>
  <c r="K63" i="4"/>
  <c r="J63" i="4"/>
  <c r="K69" i="4"/>
  <c r="J69" i="4"/>
  <c r="K16" i="4"/>
  <c r="J16" i="4"/>
  <c r="K40" i="4"/>
  <c r="J40" i="4"/>
  <c r="K70" i="4"/>
  <c r="J70" i="4"/>
  <c r="K33" i="4"/>
  <c r="J33" i="4"/>
  <c r="J90" i="4"/>
  <c r="K90" i="4"/>
  <c r="H16" i="1"/>
  <c r="F16" i="1"/>
  <c r="G16" i="1" s="1"/>
  <c r="K35" i="4"/>
  <c r="J35" i="4"/>
  <c r="K17" i="4"/>
  <c r="J17" i="4"/>
  <c r="K53" i="4"/>
  <c r="J53" i="4"/>
  <c r="K8" i="4"/>
  <c r="J8" i="4"/>
  <c r="K94" i="4"/>
  <c r="J94" i="4"/>
  <c r="K48" i="4"/>
  <c r="J48" i="4"/>
  <c r="J66" i="4"/>
  <c r="K66" i="4"/>
  <c r="K99" i="4"/>
  <c r="J99" i="4"/>
  <c r="K37" i="4"/>
  <c r="J37" i="4"/>
  <c r="K52" i="4"/>
  <c r="J52" i="4"/>
  <c r="K101" i="4"/>
  <c r="J101" i="4"/>
  <c r="K45" i="4"/>
  <c r="J45" i="4"/>
  <c r="J16" i="1"/>
  <c r="K60" i="4"/>
  <c r="J60" i="4"/>
  <c r="K12" i="4"/>
  <c r="J12" i="4"/>
  <c r="K6" i="4"/>
  <c r="J6" i="4"/>
  <c r="J58" i="4"/>
  <c r="K58" i="4"/>
  <c r="K28" i="4"/>
  <c r="J28" i="4"/>
  <c r="K25" i="4"/>
  <c r="J25" i="4"/>
  <c r="K95" i="4"/>
  <c r="J95" i="4"/>
  <c r="K49" i="4"/>
  <c r="J49" i="4"/>
  <c r="K91" i="4"/>
  <c r="J91" i="4"/>
  <c r="K97" i="4"/>
  <c r="J97" i="4"/>
  <c r="K57" i="4"/>
  <c r="J57" i="4"/>
  <c r="K89" i="4"/>
  <c r="J89" i="4"/>
  <c r="K32" i="4"/>
  <c r="J32" i="4"/>
  <c r="K59" i="4"/>
  <c r="J59" i="4"/>
  <c r="K83" i="4"/>
  <c r="J83" i="4"/>
  <c r="G3" i="3"/>
  <c r="L3" i="3"/>
  <c r="K86" i="4"/>
  <c r="J86" i="4"/>
  <c r="K93" i="4"/>
  <c r="J93" i="4"/>
  <c r="K29" i="4"/>
  <c r="J29" i="4"/>
</calcChain>
</file>

<file path=xl/sharedStrings.xml><?xml version="1.0" encoding="utf-8"?>
<sst xmlns="http://schemas.openxmlformats.org/spreadsheetml/2006/main" count="400" uniqueCount="140">
  <si>
    <t>REGISTRO DE TRABAJOS UV DTF</t>
  </si>
  <si>
    <t>Una fila = un trabajo. Registra los metros A y B, pero el cobro se coloca UNA SOLA VEZ porque corresponde al trabajo completo A+B.</t>
  </si>
  <si>
    <t>Fecha</t>
  </si>
  <si>
    <t>N° de trabajo</t>
  </si>
  <si>
    <t>Cliente / Descripción</t>
  </si>
  <si>
    <t>Rollo A</t>
  </si>
  <si>
    <t>Metros impresos (m)</t>
  </si>
  <si>
    <t>Rollo B</t>
  </si>
  <si>
    <t>Metros B (m)</t>
  </si>
  <si>
    <t>Cobrado (A+B)</t>
  </si>
  <si>
    <t>Medio de pago</t>
  </si>
  <si>
    <t>Observaciones</t>
  </si>
  <si>
    <t>951 112 094</t>
  </si>
  <si>
    <t>A-001</t>
  </si>
  <si>
    <t>B-001</t>
  </si>
  <si>
    <t>Yapeo</t>
  </si>
  <si>
    <t>PLANCHA Y MEDIA</t>
  </si>
  <si>
    <t>949 337 517</t>
  </si>
  <si>
    <t>1 METRO + 80 CM</t>
  </si>
  <si>
    <t>STEWART</t>
  </si>
  <si>
    <t>A4</t>
  </si>
  <si>
    <t>edymil</t>
  </si>
  <si>
    <t>B-002</t>
  </si>
  <si>
    <t>A3</t>
  </si>
  <si>
    <t>JUAN VERGARA</t>
  </si>
  <si>
    <t>1/2 Plancha</t>
  </si>
  <si>
    <t>MIGUEL</t>
  </si>
  <si>
    <t>1 PLANCHA</t>
  </si>
  <si>
    <t>JACK PRINT</t>
  </si>
  <si>
    <t>gigantografias uv</t>
  </si>
  <si>
    <t>FUTURO</t>
  </si>
  <si>
    <t>A3+</t>
  </si>
  <si>
    <t>SUPER ART ESTUDIO</t>
  </si>
  <si>
    <t>DINCA</t>
  </si>
  <si>
    <t>1/2 plancha +</t>
  </si>
  <si>
    <t>MAYOGA</t>
  </si>
  <si>
    <t>Extrablue</t>
  </si>
  <si>
    <t>1/2 PLANCHA</t>
  </si>
  <si>
    <t>1/2 PLANCHA +</t>
  </si>
  <si>
    <t>MEDALLAS</t>
  </si>
  <si>
    <t>A4+</t>
  </si>
  <si>
    <t>CONTROL UV DTF — RENDIMIENTO DEL ROLLO A</t>
  </si>
  <si>
    <t>Indicador principal</t>
  </si>
  <si>
    <t>Valor</t>
  </si>
  <si>
    <t>Rollo A actualmente en uso</t>
  </si>
  <si>
    <t>Fecha de inicio</t>
  </si>
  <si>
    <t>Metros iniciales</t>
  </si>
  <si>
    <t>Metros impresos</t>
  </si>
  <si>
    <t>Metros restantes</t>
  </si>
  <si>
    <t>Trabajos registrados</t>
  </si>
  <si>
    <t>Total cobrado por ese rollo A</t>
  </si>
  <si>
    <t>Ingreso promedio por metro impreso</t>
  </si>
  <si>
    <t>Nota:</t>
  </si>
  <si>
    <t>El cobro corresponde al trabajo completo A+B y se suma una sola vez.</t>
  </si>
  <si>
    <t>HISTORIAL DE ROLLOS A Y B</t>
  </si>
  <si>
    <t>Tipo</t>
  </si>
  <si>
    <t>ID del rollo</t>
  </si>
  <si>
    <t>Fecha inicio</t>
  </si>
  <si>
    <t>Fecha término</t>
  </si>
  <si>
    <t>Trabajos</t>
  </si>
  <si>
    <t>Estado</t>
  </si>
  <si>
    <t>Total cobrado</t>
  </si>
  <si>
    <t>Costo</t>
  </si>
  <si>
    <t>Ganancia estimada</t>
  </si>
  <si>
    <t>Metros B usados</t>
  </si>
  <si>
    <t>A</t>
  </si>
  <si>
    <t>EN USO</t>
  </si>
  <si>
    <t>B</t>
  </si>
  <si>
    <t>FINALIZADO</t>
  </si>
  <si>
    <t>CONFIGURACIÓN UV DTF</t>
  </si>
  <si>
    <t>IDs de rollo</t>
  </si>
  <si>
    <t>Rollo A disponible</t>
  </si>
  <si>
    <t>Rollo B disponible</t>
  </si>
  <si>
    <t>Parámetro</t>
  </si>
  <si>
    <t>Unidad</t>
  </si>
  <si>
    <t>Nota</t>
  </si>
  <si>
    <t>Metros iniciales por rollo</t>
  </si>
  <si>
    <t>m</t>
  </si>
  <si>
    <t>Cada rollo nuevo parte de 100 m</t>
  </si>
  <si>
    <t>A-002</t>
  </si>
  <si>
    <t>Costo rollo A</t>
  </si>
  <si>
    <t>S/</t>
  </si>
  <si>
    <t>Ingresar costo real</t>
  </si>
  <si>
    <t>A-003</t>
  </si>
  <si>
    <t>Costo rollo B</t>
  </si>
  <si>
    <t>A-004</t>
  </si>
  <si>
    <t>Fecha actual</t>
  </si>
  <si>
    <t>Rollo A nuevo desde esta fecha</t>
  </si>
  <si>
    <t>A-005</t>
  </si>
  <si>
    <t>A-006</t>
  </si>
  <si>
    <t>A-007</t>
  </si>
  <si>
    <t>A-008</t>
  </si>
  <si>
    <t>A-009</t>
  </si>
  <si>
    <t>A-010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</si>
  <si>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</si>
  <si>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</si>
  <si>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</si>
  <si>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</si>
  <si>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</si>
  <si>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</si>
  <si>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</si>
  <si>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</si>
  <si>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CHARAPO</t>
  </si>
  <si>
    <t>SOQUINSA</t>
  </si>
  <si>
    <t>BENJAMIN JB</t>
  </si>
  <si>
    <t>Efectivo</t>
  </si>
  <si>
    <t>PASAJE ARMAS</t>
  </si>
  <si>
    <t>POSIBEL</t>
  </si>
  <si>
    <t>BOLL</t>
  </si>
  <si>
    <t>TOMATODOS MANNUCCI</t>
  </si>
  <si>
    <t>Cliente 13 TAZAS</t>
  </si>
  <si>
    <t>JUAN MARIÑOS</t>
  </si>
  <si>
    <t>2 PLANCHAS</t>
  </si>
  <si>
    <t>SEBASTIAN RODRIGUEZ</t>
  </si>
  <si>
    <t>DASACARD</t>
  </si>
  <si>
    <t xml:space="preserve">MEDALLAS </t>
  </si>
  <si>
    <t>CLIENTE</t>
  </si>
  <si>
    <t>ANTONY</t>
  </si>
  <si>
    <t>MANNUCCU</t>
  </si>
  <si>
    <t>HEINER</t>
  </si>
  <si>
    <t>PODEMOS PERU</t>
  </si>
  <si>
    <t>ESTRELLA</t>
  </si>
  <si>
    <t>EDUARDO</t>
  </si>
  <si>
    <t>BARRO</t>
  </si>
  <si>
    <t>JESSICA</t>
  </si>
  <si>
    <t>ASESORES MULTIMARCA</t>
  </si>
  <si>
    <t>BARARO</t>
  </si>
  <si>
    <t>LETICIA</t>
  </si>
  <si>
    <t>TALENTUS</t>
  </si>
  <si>
    <t>CARLOS</t>
  </si>
  <si>
    <t>FREPAP</t>
  </si>
  <si>
    <t>2 PLANCHAS Y MEDIA</t>
  </si>
  <si>
    <t>AUTONORT</t>
  </si>
  <si>
    <t>GRAFICA FUTURO</t>
  </si>
  <si>
    <t>MUG</t>
  </si>
  <si>
    <t>FUSION CLIENTES</t>
  </si>
  <si>
    <t>JUNIOR CODEX</t>
  </si>
  <si>
    <t>AUTONORT CLIENTE 2</t>
  </si>
  <si>
    <t>3 METROS +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</si>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</sst>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dd/mm/yy"/>
    <numFmt numFmtId="167" formatCode="&quot;S/ &quot;#,##0.00"/>
  </numFmts>
  <fonts count="9" x14ac:knownFonts="1">
    <font>
      <sz val="10"/>
      <name val="Arial"/>
      <family val="2"/>
      <charset val="1"/>
    </font>
    <font>
      <sz val="11"/>
      <color theme="1"/>
      <name val="Calibri"/>
      <charset val="1"/>
    </font>
    <font>
      <b/>
      <sz val="16"/>
      <name val="Calibri"/>
      <charset val="1"/>
    </font>
    <font>
      <b/>
      <sz val="11"/>
      <name val="Calibri"/>
      <charset val="1"/>
    </font>
    <font>
      <b/>
      <sz val="13"/>
      <name val="Calibri"/>
      <charset val="1"/>
    </font>
    <font>
      <b/>
      <sz val="11"/>
      <color rgb="FFFFFFFF"/>
      <name val="Calibri"/>
      <charset val="1"/>
    </font>
    <font>
      <i/>
      <sz val="11"/>
      <name val="Calibri"/>
      <charset val="1"/>
    </font>
    <font>
      <b/>
      <sz val="11"/>
      <color rgb="FFFFFFFF"/>
      <name val="Cambria"/>
      <charset val="1"/>
    </font>
    <font>
      <b/>
      <sz val="14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EAF3F8"/>
      </patternFill>
    </fill>
    <fill>
      <patternFill patternType="solid">
        <fgColor rgb="FF1F4E78"/>
        <bgColor rgb="FF003366"/>
      </patternFill>
    </fill>
    <fill>
      <patternFill patternType="solid">
        <fgColor rgb="FFEAF3F8"/>
        <bgColor rgb="FF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7C9D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4" fontId="0" fillId="0" borderId="0" xfId="0" applyNumberFormat="1"/>
    <xf numFmtId="165" fontId="1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166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12" fontId="1" fillId="0" borderId="0" xfId="0" applyNumberFormat="1" applyFont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2" fontId="1" fillId="0" borderId="3" xfId="0" applyNumberFormat="1" applyFont="1" applyBorder="1" applyAlignment="1">
      <alignment vertical="center" wrapText="1"/>
    </xf>
    <xf numFmtId="167" fontId="1" fillId="0" borderId="3" xfId="0" applyNumberFormat="1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B7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zoomScaleNormal="100" workbookViewId="0">
      <selection activeCell="G21" sqref="G21"/>
    </sheetView>
  </sheetViews>
  <sheetFormatPr baseColWidth="10" defaultColWidth="9.140625" defaultRowHeight="15" customHeight="1" x14ac:dyDescent="0.25"/>
  <cols>
    <col min="1" max="1" width="23.85546875" style="1" customWidth="1"/>
    <col min="2" max="2" width="16" style="1" customWidth="1"/>
    <col min="3" max="4" width="14" style="1" customWidth="1"/>
    <col min="5" max="7" width="16" style="1" customWidth="1"/>
    <col min="8" max="8" width="12" style="1" customWidth="1"/>
    <col min="9" max="9" width="14" style="1" customWidth="1"/>
  </cols>
  <sheetData>
    <row r="1" spans="1:10" ht="20.25" customHeight="1" x14ac:dyDescent="0.25">
      <c r="A1" s="34" t="s">
        <v>41</v>
      </c>
      <c r="B1" s="35"/>
      <c r="C1" s="35"/>
      <c r="D1" s="35"/>
      <c r="E1" s="2"/>
      <c r="F1" s="2"/>
      <c r="G1" s="2"/>
      <c r="H1" s="2"/>
      <c r="I1" s="2"/>
    </row>
    <row r="2" spans="1:10" ht="15" customHeight="1" x14ac:dyDescent="0.2">
      <c r="A2" s="2"/>
      <c r="B2" s="2"/>
      <c r="C2" s="2"/>
      <c r="D2" s="2"/>
      <c r="E2" s="2"/>
      <c r="F2" s="2"/>
      <c r="G2" s="2"/>
      <c r="H2" s="2"/>
      <c r="I2" s="2"/>
    </row>
    <row r="3" spans="1:10" ht="21.75" customHeight="1" x14ac:dyDescent="0.25">
      <c r="A3" s="3" t="s">
        <v>42</v>
      </c>
      <c r="B3" s="37" t="s">
        <v>43</v>
      </c>
      <c r="C3" s="35"/>
      <c r="D3" s="35"/>
      <c r="E3" s="2"/>
      <c r="F3" s="2"/>
      <c r="G3" s="2"/>
      <c r="H3" s="2"/>
      <c r="I3" s="2"/>
    </row>
    <row r="4" spans="1:10" ht="21.75" customHeight="1" x14ac:dyDescent="0.25">
      <c r="A4" s="4" t="s">
        <v>44</v>
      </c>
      <c r="B4" s="5" t="str">
        <f>'Control de rollos'!B2</f>
        <v>A-001</v>
      </c>
      <c r="E4" s="2"/>
      <c r="F4" s="2"/>
      <c r="G4" s="2"/>
      <c r="H4" s="2"/>
      <c r="I4" s="2"/>
    </row>
    <row r="5" spans="1:10" ht="21.75" customHeight="1" x14ac:dyDescent="0.25">
      <c r="A5" s="4" t="s">
        <v>45</v>
      </c>
      <c r="B5" s="6">
        <f>'Control de rollos'!C2</f>
        <v>46272</v>
      </c>
      <c r="E5" s="2"/>
      <c r="F5" s="2"/>
      <c r="G5" s="2"/>
      <c r="H5" s="2"/>
      <c r="I5" s="2"/>
    </row>
    <row r="6" spans="1:10" ht="21.75" customHeight="1" x14ac:dyDescent="0.25">
      <c r="A6" s="4" t="s">
        <v>46</v>
      </c>
      <c r="B6" s="7">
        <f>'Control de rollos'!E2</f>
        <v>100</v>
      </c>
      <c r="E6" s="2"/>
      <c r="F6" s="2"/>
      <c r="G6" s="2"/>
      <c r="H6" s="2"/>
      <c r="I6" s="2"/>
    </row>
    <row r="7" spans="1:10" ht="21.75" customHeight="1" x14ac:dyDescent="0.25">
      <c r="A7" s="4" t="s">
        <v>47</v>
      </c>
      <c r="B7" s="7">
        <f>'Control de rollos'!F2</f>
        <v>36.116999999999997</v>
      </c>
      <c r="E7" s="2"/>
      <c r="F7" s="2"/>
      <c r="G7" s="2"/>
      <c r="H7" s="2"/>
      <c r="I7" s="2"/>
    </row>
    <row r="8" spans="1:10" ht="21.75" customHeight="1" x14ac:dyDescent="0.2">
      <c r="A8" s="4" t="s">
        <v>48</v>
      </c>
      <c r="B8" s="7">
        <f>'Control de rollos'!G2</f>
        <v>63.883000000000003</v>
      </c>
      <c r="C8" s="2"/>
      <c r="D8" s="2"/>
      <c r="E8" s="2"/>
      <c r="F8" s="2"/>
      <c r="G8" s="2"/>
      <c r="H8" s="2"/>
      <c r="I8" s="2"/>
    </row>
    <row r="9" spans="1:10" ht="21.75" customHeight="1" x14ac:dyDescent="0.2">
      <c r="A9" s="4" t="s">
        <v>49</v>
      </c>
      <c r="B9" s="8">
        <f>'Control de rollos'!K2</f>
        <v>61</v>
      </c>
      <c r="C9" s="2"/>
      <c r="D9" s="2"/>
      <c r="E9" s="2"/>
      <c r="F9" s="2"/>
      <c r="G9" s="2"/>
      <c r="H9" s="2"/>
      <c r="I9" s="2"/>
    </row>
    <row r="10" spans="1:10" ht="21.75" customHeight="1" x14ac:dyDescent="0.25">
      <c r="A10" s="4" t="s">
        <v>50</v>
      </c>
      <c r="B10" s="9">
        <f>SUM('Registro de trabajos'!H:H)</f>
        <v>2777.2</v>
      </c>
      <c r="E10" s="2"/>
      <c r="F10" s="2"/>
      <c r="G10" s="2"/>
      <c r="H10" s="2"/>
      <c r="I10" s="2"/>
    </row>
    <row r="11" spans="1:10" ht="21.75" customHeight="1" x14ac:dyDescent="0.2">
      <c r="A11" s="4" t="s">
        <v>51</v>
      </c>
      <c r="B11" s="10">
        <f>IFERROR(B10/(SUM('Registro de trabajos'!E:E)+SUM('Registro de trabajos'!G:G)),0)</f>
        <v>38.51231417794542</v>
      </c>
      <c r="C11" s="2"/>
      <c r="D11" s="2"/>
      <c r="E11" s="2"/>
      <c r="F11" s="2"/>
      <c r="G11" s="2"/>
      <c r="H11" s="2"/>
      <c r="I11" s="2"/>
    </row>
    <row r="12" spans="1:10" ht="15" customHeight="1" x14ac:dyDescent="0.2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</row>
    <row r="13" spans="1:10" ht="15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10" ht="17.25" customHeight="1" x14ac:dyDescent="0.2">
      <c r="A14" s="11" t="s">
        <v>54</v>
      </c>
      <c r="B14" s="2"/>
      <c r="C14" s="2"/>
      <c r="D14" s="2"/>
      <c r="E14" s="2"/>
      <c r="F14" s="2"/>
      <c r="G14" s="2"/>
      <c r="H14" s="2"/>
      <c r="I14" s="2"/>
    </row>
    <row r="15" spans="1:10" ht="15" customHeight="1" x14ac:dyDescent="0.2">
      <c r="A15" s="12" t="s">
        <v>55</v>
      </c>
      <c r="B15" s="12" t="s">
        <v>56</v>
      </c>
      <c r="C15" s="12" t="s">
        <v>57</v>
      </c>
      <c r="D15" s="12" t="s">
        <v>58</v>
      </c>
      <c r="E15" s="12" t="s">
        <v>46</v>
      </c>
      <c r="F15" s="12" t="s">
        <v>47</v>
      </c>
      <c r="G15" s="12" t="s">
        <v>48</v>
      </c>
      <c r="H15" s="12" t="s">
        <v>59</v>
      </c>
      <c r="I15" s="12" t="s">
        <v>60</v>
      </c>
      <c r="J15" t="s">
        <v>61</v>
      </c>
    </row>
    <row r="16" spans="1:10" ht="15" customHeight="1" x14ac:dyDescent="0.2">
      <c r="A16" s="2" t="str">
        <f>'Control de rollos'!A2</f>
        <v>A</v>
      </c>
      <c r="B16" s="13" t="str">
        <f>'Control de rollos'!B2</f>
        <v>A-001</v>
      </c>
      <c r="C16" s="14">
        <f>'Control de rollos'!C2</f>
        <v>46272</v>
      </c>
      <c r="D16" s="13" t="str">
        <f>IF('Control de rollos'!D2="","",'Control de rollos'!D2)</f>
        <v/>
      </c>
      <c r="E16" s="15">
        <f>'Control de rollos'!E2</f>
        <v>100</v>
      </c>
      <c r="F16" s="15">
        <f>SUMIF('Registro de trabajos'!D:D,B16,'Registro de trabajos'!E:E)</f>
        <v>36.116999999999997</v>
      </c>
      <c r="G16" s="15">
        <f>MAX(0,E16-F16)</f>
        <v>63.883000000000003</v>
      </c>
      <c r="H16" s="16">
        <f>COUNTIF('Registro de trabajos'!D:D,B16)</f>
        <v>61</v>
      </c>
      <c r="I16" s="15" t="str">
        <f>'Control de rollos'!M2</f>
        <v>EN USO</v>
      </c>
      <c r="J16" s="17">
        <f>IF('Control de rollos'!B2="","",'Control de rollos'!H2)</f>
        <v>2777.2</v>
      </c>
    </row>
    <row r="17" spans="1:10" ht="15" customHeight="1" x14ac:dyDescent="0.2">
      <c r="A17" s="2" t="str">
        <f>'Control de rollos'!A3</f>
        <v>B</v>
      </c>
      <c r="B17" s="13" t="str">
        <f>'Control de rollos'!B3</f>
        <v>B-001</v>
      </c>
      <c r="C17" s="13">
        <f>'Control de rollos'!C3</f>
        <v>46241</v>
      </c>
      <c r="D17" s="13">
        <f>'Control de rollos'!D3</f>
        <v>46273</v>
      </c>
      <c r="E17" s="15">
        <f>'Control de rollos'!E3</f>
        <v>100</v>
      </c>
      <c r="F17" s="15">
        <f>SUMIF('Registro de trabajos'!F:F,B17,'Registro de trabajos'!G:G)</f>
        <v>5.1149999999999993</v>
      </c>
      <c r="G17" s="15">
        <f>MAX(0,E17-F17)</f>
        <v>94.885000000000005</v>
      </c>
      <c r="H17" s="16">
        <f>COUNTIF('Registro de trabajos'!F:F,B17)</f>
        <v>6</v>
      </c>
      <c r="I17" s="15" t="str">
        <f>'Control de rollos'!M3</f>
        <v>FINALIZADO</v>
      </c>
      <c r="J17" s="17">
        <f>IF('Control de rollos'!B3="","",'Control de rollos'!H3)</f>
        <v>0</v>
      </c>
    </row>
    <row r="18" spans="1:10" ht="15" customHeight="1" x14ac:dyDescent="0.2">
      <c r="A18" s="2" t="str">
        <f>'Control de rollos'!A4</f>
        <v>B</v>
      </c>
      <c r="B18" s="13" t="str">
        <f>'Control de rollos'!B4</f>
        <v>B-002</v>
      </c>
      <c r="C18" s="13">
        <f>'Control de rollos'!C4</f>
        <v>46273</v>
      </c>
      <c r="D18" s="13" t="str">
        <f>IF('Control de rollos'!D4="","",'Control de rollos'!D4)</f>
        <v/>
      </c>
      <c r="E18" s="15">
        <f>'Control de rollos'!E4</f>
        <v>100</v>
      </c>
      <c r="F18" s="15">
        <f>SUMIF('Registro de trabajos'!F:F,B18,'Registro de trabajos'!G:G)</f>
        <v>30.879999999999992</v>
      </c>
      <c r="G18" s="15">
        <f>MAX(0,E18-F18)</f>
        <v>69.12</v>
      </c>
      <c r="H18" s="16">
        <f>COUNTIF('Registro de trabajos'!F:F,B18)</f>
        <v>55</v>
      </c>
      <c r="I18" s="15" t="str">
        <f>'Control de rollos'!M4</f>
        <v>EN USO</v>
      </c>
      <c r="J18" s="17">
        <f>IF('Control de rollos'!B4="","",'Control de rollos'!H4)</f>
        <v>0</v>
      </c>
    </row>
    <row r="19" spans="1:10" ht="15" customHeight="1" x14ac:dyDescent="0.2">
      <c r="A19" s="2"/>
      <c r="B19" s="13"/>
      <c r="C19" s="13"/>
      <c r="D19" s="13"/>
      <c r="E19" s="18"/>
      <c r="F19" s="18"/>
      <c r="G19" s="18"/>
      <c r="H19" s="16"/>
      <c r="I19" s="15"/>
    </row>
    <row r="20" spans="1:10" ht="15" customHeight="1" x14ac:dyDescent="0.2">
      <c r="A20" s="2"/>
      <c r="B20" s="13"/>
      <c r="C20" s="13"/>
      <c r="D20" s="13"/>
      <c r="E20" s="18"/>
      <c r="F20" s="18"/>
      <c r="G20" s="18"/>
      <c r="H20" s="16"/>
      <c r="I20" s="15"/>
    </row>
    <row r="21" spans="1:10" ht="15" customHeight="1" x14ac:dyDescent="0.2">
      <c r="A21" s="2"/>
      <c r="B21" s="13"/>
      <c r="C21" s="13"/>
      <c r="D21" s="13"/>
      <c r="E21" s="18"/>
      <c r="F21" s="18"/>
      <c r="G21" s="18"/>
      <c r="H21" s="16"/>
      <c r="I21" s="15"/>
    </row>
    <row r="22" spans="1:10" ht="15" customHeight="1" x14ac:dyDescent="0.2">
      <c r="A22" s="2"/>
      <c r="B22" s="13"/>
      <c r="C22" s="13"/>
      <c r="D22" s="13"/>
      <c r="E22" s="18"/>
      <c r="F22" s="18"/>
      <c r="G22" s="18"/>
      <c r="H22" s="16"/>
      <c r="I22" s="15"/>
    </row>
    <row r="23" spans="1:10" ht="15" customHeight="1" x14ac:dyDescent="0.2">
      <c r="A23" s="2"/>
      <c r="B23" s="13"/>
      <c r="C23" s="13"/>
      <c r="D23" s="13"/>
      <c r="E23" s="18"/>
      <c r="F23" s="18"/>
      <c r="G23" s="18"/>
      <c r="H23" s="16"/>
      <c r="I23" s="15"/>
    </row>
    <row r="24" spans="1:10" ht="15" customHeight="1" x14ac:dyDescent="0.2">
      <c r="A24" s="19"/>
      <c r="B24" s="13"/>
      <c r="C24" s="13"/>
      <c r="D24" s="13"/>
      <c r="E24" s="18"/>
      <c r="F24" s="18"/>
      <c r="G24" s="18"/>
      <c r="H24" s="20"/>
      <c r="I24" s="15"/>
    </row>
    <row r="25" spans="1:10" ht="15" customHeight="1" x14ac:dyDescent="0.2">
      <c r="A25" s="19"/>
      <c r="B25" s="13"/>
      <c r="C25" s="13"/>
      <c r="D25" s="13"/>
      <c r="E25" s="18"/>
      <c r="F25" s="18"/>
      <c r="G25" s="18"/>
      <c r="H25" s="20"/>
      <c r="I25" s="15"/>
    </row>
    <row r="26" spans="1:10" ht="15" customHeight="1" x14ac:dyDescent="0.2">
      <c r="A26" s="19"/>
      <c r="B26" s="13"/>
      <c r="C26" s="13"/>
      <c r="D26" s="13"/>
      <c r="E26" s="18"/>
      <c r="F26" s="18"/>
      <c r="G26" s="18"/>
      <c r="H26" s="20"/>
      <c r="I26" s="15"/>
    </row>
    <row r="27" spans="1:10" ht="15" customHeight="1" x14ac:dyDescent="0.2">
      <c r="A27" s="19"/>
      <c r="B27" s="13"/>
      <c r="C27" s="13"/>
      <c r="D27" s="13"/>
      <c r="E27" s="18"/>
      <c r="F27" s="18"/>
      <c r="G27" s="18"/>
      <c r="H27" s="20"/>
      <c r="I27" s="15"/>
    </row>
    <row r="28" spans="1:10" ht="15" customHeight="1" x14ac:dyDescent="0.2">
      <c r="A28" s="19"/>
      <c r="B28" s="13"/>
      <c r="C28" s="13"/>
      <c r="D28" s="13"/>
      <c r="E28" s="18"/>
      <c r="F28" s="18"/>
      <c r="G28" s="18"/>
      <c r="H28" s="20"/>
      <c r="I28" s="15"/>
    </row>
    <row r="29" spans="1:10" ht="15" customHeight="1" x14ac:dyDescent="0.2">
      <c r="A29" s="19"/>
      <c r="B29" s="13"/>
      <c r="C29" s="13"/>
      <c r="D29" s="13"/>
      <c r="E29" s="18"/>
      <c r="F29" s="18"/>
      <c r="G29" s="18"/>
      <c r="H29" s="20"/>
      <c r="I29" s="15"/>
    </row>
    <row r="30" spans="1:10" ht="15" customHeight="1" x14ac:dyDescent="0.2">
      <c r="A30" s="19"/>
      <c r="B30" s="13"/>
      <c r="C30" s="13"/>
      <c r="D30" s="13"/>
      <c r="E30" s="18"/>
      <c r="F30" s="18"/>
      <c r="G30" s="18"/>
      <c r="H30" s="20"/>
      <c r="I30" s="15"/>
    </row>
    <row r="31" spans="1:10" ht="15" customHeight="1" x14ac:dyDescent="0.2">
      <c r="A31" s="19"/>
      <c r="B31" s="13"/>
      <c r="C31" s="13"/>
      <c r="D31" s="13"/>
      <c r="E31" s="18"/>
      <c r="F31" s="18"/>
      <c r="G31" s="18"/>
      <c r="H31" s="20"/>
      <c r="I31" s="15"/>
    </row>
    <row r="32" spans="1:10" ht="15" customHeight="1" x14ac:dyDescent="0.2">
      <c r="A32" s="19"/>
      <c r="B32" s="13"/>
      <c r="C32" s="13"/>
      <c r="D32" s="13"/>
      <c r="E32" s="18"/>
      <c r="F32" s="18"/>
      <c r="G32" s="18"/>
      <c r="H32" s="20"/>
      <c r="I32" s="15"/>
    </row>
    <row r="33" spans="1:9" ht="15" customHeight="1" x14ac:dyDescent="0.2">
      <c r="A33" s="19"/>
      <c r="B33" s="13"/>
      <c r="C33" s="13"/>
      <c r="D33" s="13"/>
      <c r="E33" s="18"/>
      <c r="F33" s="18"/>
      <c r="G33" s="18"/>
      <c r="H33" s="20"/>
      <c r="I33" s="15"/>
    </row>
    <row r="34" spans="1:9" ht="15" customHeight="1" x14ac:dyDescent="0.2">
      <c r="A34" s="19"/>
      <c r="B34" s="13"/>
      <c r="C34" s="13"/>
      <c r="D34" s="13"/>
      <c r="E34" s="18"/>
      <c r="F34" s="18"/>
      <c r="G34" s="18"/>
      <c r="H34" s="20"/>
      <c r="I34" s="15"/>
    </row>
    <row r="35" spans="1:9" ht="15" customHeight="1" x14ac:dyDescent="0.2">
      <c r="A35" s="19"/>
      <c r="B35" s="13"/>
      <c r="C35" s="13"/>
      <c r="D35" s="13"/>
      <c r="E35" s="18"/>
      <c r="F35" s="18"/>
      <c r="G35" s="18"/>
      <c r="H35" s="20"/>
      <c r="I35" s="15"/>
    </row>
    <row r="36" spans="1:9" ht="15" customHeight="1" x14ac:dyDescent="0.2">
      <c r="A36" s="19"/>
      <c r="B36" s="13"/>
      <c r="C36" s="13"/>
      <c r="D36" s="18"/>
      <c r="E36" s="18"/>
      <c r="F36" s="16"/>
      <c r="G36" s="15"/>
      <c r="H36" s="20"/>
      <c r="I36" s="15"/>
    </row>
    <row r="37" spans="1:9" ht="17.25" customHeight="1" x14ac:dyDescent="0.2">
      <c r="A37" s="21"/>
      <c r="B37" s="13"/>
      <c r="C37" s="13"/>
      <c r="D37" s="18"/>
      <c r="E37" s="18"/>
      <c r="F37" s="16"/>
      <c r="G37" s="15"/>
      <c r="H37" s="20"/>
      <c r="I37" s="15"/>
    </row>
    <row r="38" spans="1:9" ht="15" customHeight="1" x14ac:dyDescent="0.2">
      <c r="A38" s="19"/>
      <c r="B38" s="13"/>
      <c r="C38" s="13"/>
      <c r="D38" s="18"/>
      <c r="E38" s="18"/>
      <c r="F38" s="16"/>
      <c r="G38" s="15"/>
      <c r="H38" s="20"/>
      <c r="I38" s="15"/>
    </row>
    <row r="39" spans="1:9" ht="15" customHeight="1" x14ac:dyDescent="0.2">
      <c r="A39" s="19"/>
      <c r="B39" s="13"/>
      <c r="C39" s="13"/>
      <c r="D39" s="18"/>
      <c r="E39" s="18"/>
      <c r="F39" s="16"/>
      <c r="G39" s="15"/>
      <c r="H39" s="20"/>
      <c r="I39" s="15"/>
    </row>
    <row r="40" spans="1:9" ht="45" customHeight="1" x14ac:dyDescent="0.2">
      <c r="A40" s="19"/>
      <c r="B40" s="13"/>
      <c r="C40" s="13"/>
      <c r="D40" s="18"/>
      <c r="E40" s="18"/>
      <c r="F40" s="16"/>
      <c r="G40" s="15"/>
      <c r="H40" s="20"/>
      <c r="I40" s="15"/>
    </row>
    <row r="41" spans="1:9" ht="15" customHeight="1" x14ac:dyDescent="0.25">
      <c r="A41" s="22"/>
      <c r="H41" s="17"/>
    </row>
    <row r="42" spans="1:9" ht="15" customHeight="1" x14ac:dyDescent="0.25">
      <c r="A42" s="22"/>
      <c r="H42" s="17"/>
    </row>
    <row r="43" spans="1:9" ht="15" customHeight="1" x14ac:dyDescent="0.25">
      <c r="A43" s="22"/>
      <c r="H43" s="17"/>
    </row>
    <row r="44" spans="1:9" ht="15" customHeight="1" x14ac:dyDescent="0.25">
      <c r="A44" s="22"/>
      <c r="H44" s="17"/>
    </row>
    <row r="45" spans="1:9" ht="15" customHeight="1" x14ac:dyDescent="0.25">
      <c r="A45" s="22"/>
      <c r="H45" s="17"/>
    </row>
    <row r="46" spans="1:9" ht="15" customHeight="1" x14ac:dyDescent="0.25">
      <c r="A46" s="22"/>
      <c r="H46" s="17"/>
    </row>
    <row r="47" spans="1:9" ht="15" customHeight="1" x14ac:dyDescent="0.25">
      <c r="A47" s="22"/>
      <c r="H47" s="17"/>
    </row>
    <row r="48" spans="1:9" ht="15" customHeight="1" x14ac:dyDescent="0.25">
      <c r="A48" s="22"/>
      <c r="H48" s="17"/>
    </row>
    <row r="49" spans="1:8" ht="15" customHeight="1" x14ac:dyDescent="0.25">
      <c r="A49" s="22"/>
      <c r="H49" s="17"/>
    </row>
    <row r="50" spans="1:8" ht="15" customHeight="1" x14ac:dyDescent="0.25">
      <c r="A50" s="22"/>
      <c r="H50" s="17"/>
    </row>
    <row r="51" spans="1:8" ht="15" customHeight="1" x14ac:dyDescent="0.25">
      <c r="A51" s="22"/>
      <c r="H51" s="17"/>
    </row>
    <row r="52" spans="1:8" ht="15" customHeight="1" x14ac:dyDescent="0.25">
      <c r="A52" s="22"/>
      <c r="H52" s="17"/>
    </row>
    <row r="53" spans="1:8" ht="15" customHeight="1" x14ac:dyDescent="0.25">
      <c r="A53" s="22"/>
      <c r="H53" s="17"/>
    </row>
    <row r="54" spans="1:8" ht="15" customHeight="1" x14ac:dyDescent="0.25">
      <c r="A54" s="22"/>
      <c r="H54" s="17"/>
    </row>
    <row r="55" spans="1:8" ht="15" customHeight="1" x14ac:dyDescent="0.25">
      <c r="A55" s="22"/>
      <c r="H55" s="17"/>
    </row>
    <row r="56" spans="1:8" ht="15" customHeight="1" x14ac:dyDescent="0.25">
      <c r="A56" s="22"/>
      <c r="H56" s="17"/>
    </row>
    <row r="57" spans="1:8" ht="15" customHeight="1" x14ac:dyDescent="0.25">
      <c r="A57" s="22"/>
      <c r="H57" s="17"/>
    </row>
    <row r="58" spans="1:8" ht="15" customHeight="1" x14ac:dyDescent="0.25">
      <c r="A58" s="22"/>
      <c r="H58" s="17"/>
    </row>
    <row r="59" spans="1:8" ht="15" customHeight="1" x14ac:dyDescent="0.25">
      <c r="A59" s="22"/>
      <c r="H59" s="17"/>
    </row>
    <row r="60" spans="1:8" ht="15" customHeight="1" x14ac:dyDescent="0.25">
      <c r="A60" s="22"/>
      <c r="H60" s="17"/>
    </row>
    <row r="61" spans="1:8" ht="15" customHeight="1" x14ac:dyDescent="0.25">
      <c r="A61" s="22"/>
      <c r="H61" s="17"/>
    </row>
    <row r="62" spans="1:8" ht="15" customHeight="1" x14ac:dyDescent="0.25">
      <c r="A62" s="22"/>
      <c r="H62" s="17"/>
    </row>
    <row r="63" spans="1:8" ht="15" customHeight="1" x14ac:dyDescent="0.25">
      <c r="A63" s="22"/>
      <c r="H63" s="17"/>
    </row>
    <row r="64" spans="1:8" ht="15" customHeight="1" x14ac:dyDescent="0.25">
      <c r="A64" s="22"/>
      <c r="H64" s="17"/>
    </row>
    <row r="65" spans="1:8" ht="15" customHeight="1" x14ac:dyDescent="0.25">
      <c r="A65" s="22"/>
      <c r="H65" s="17"/>
    </row>
    <row r="66" spans="1:8" ht="15" customHeight="1" x14ac:dyDescent="0.25">
      <c r="A66" s="22"/>
      <c r="H66" s="17"/>
    </row>
    <row r="67" spans="1:8" ht="15" customHeight="1" x14ac:dyDescent="0.25">
      <c r="A67" s="22"/>
      <c r="H67" s="17"/>
    </row>
    <row r="68" spans="1:8" ht="15" customHeight="1" x14ac:dyDescent="0.25">
      <c r="A68" s="22"/>
      <c r="H68" s="17"/>
    </row>
    <row r="69" spans="1:8" ht="15" customHeight="1" x14ac:dyDescent="0.25">
      <c r="A69" s="22"/>
      <c r="H69" s="17"/>
    </row>
    <row r="70" spans="1:8" ht="15" customHeight="1" x14ac:dyDescent="0.25">
      <c r="A70" s="22"/>
      <c r="H70" s="17"/>
    </row>
    <row r="71" spans="1:8" ht="15" customHeight="1" x14ac:dyDescent="0.25">
      <c r="A71" s="22"/>
      <c r="H71" s="17"/>
    </row>
    <row r="72" spans="1:8" ht="15" customHeight="1" x14ac:dyDescent="0.25">
      <c r="A72" s="22"/>
      <c r="H72" s="17"/>
    </row>
    <row r="73" spans="1:8" ht="15" customHeight="1" x14ac:dyDescent="0.25">
      <c r="A73" s="22"/>
      <c r="H73" s="17"/>
    </row>
    <row r="74" spans="1:8" ht="15" customHeight="1" x14ac:dyDescent="0.25">
      <c r="A74" s="22"/>
      <c r="H74" s="17"/>
    </row>
    <row r="75" spans="1:8" ht="15" customHeight="1" x14ac:dyDescent="0.25">
      <c r="A75" s="22"/>
      <c r="H75" s="17"/>
    </row>
    <row r="76" spans="1:8" ht="15" customHeight="1" x14ac:dyDescent="0.25">
      <c r="A76" s="22"/>
      <c r="H76" s="17"/>
    </row>
    <row r="77" spans="1:8" ht="15" customHeight="1" x14ac:dyDescent="0.25">
      <c r="A77" s="22"/>
      <c r="H77" s="17"/>
    </row>
    <row r="78" spans="1:8" ht="15" customHeight="1" x14ac:dyDescent="0.25">
      <c r="A78" s="22"/>
      <c r="H78" s="17"/>
    </row>
    <row r="79" spans="1:8" ht="15" customHeight="1" x14ac:dyDescent="0.25">
      <c r="A79" s="22"/>
      <c r="H79" s="17"/>
    </row>
    <row r="80" spans="1:8" ht="15" customHeight="1" x14ac:dyDescent="0.25">
      <c r="A80" s="22"/>
      <c r="H80" s="17"/>
    </row>
    <row r="81" spans="1:8" ht="15" customHeight="1" x14ac:dyDescent="0.25">
      <c r="A81" s="22"/>
      <c r="H81" s="17"/>
    </row>
    <row r="82" spans="1:8" ht="15" customHeight="1" x14ac:dyDescent="0.25">
      <c r="A82" s="22"/>
      <c r="H82" s="17"/>
    </row>
    <row r="83" spans="1:8" ht="15" customHeight="1" x14ac:dyDescent="0.25">
      <c r="A83" s="22"/>
      <c r="H83" s="17"/>
    </row>
    <row r="84" spans="1:8" ht="15" customHeight="1" x14ac:dyDescent="0.25">
      <c r="A84" s="22"/>
      <c r="H84" s="17"/>
    </row>
    <row r="85" spans="1:8" ht="15" customHeight="1" x14ac:dyDescent="0.25">
      <c r="A85" s="22"/>
      <c r="H85" s="17"/>
    </row>
    <row r="86" spans="1:8" ht="15" customHeight="1" x14ac:dyDescent="0.25">
      <c r="A86" s="22"/>
      <c r="H86" s="17"/>
    </row>
    <row r="87" spans="1:8" ht="15" customHeight="1" x14ac:dyDescent="0.25">
      <c r="A87" s="22"/>
      <c r="H87" s="17"/>
    </row>
    <row r="88" spans="1:8" ht="15" customHeight="1" x14ac:dyDescent="0.25">
      <c r="A88" s="22"/>
      <c r="H88" s="17"/>
    </row>
    <row r="89" spans="1:8" ht="15" customHeight="1" x14ac:dyDescent="0.25">
      <c r="A89" s="22"/>
      <c r="H89" s="17"/>
    </row>
    <row r="90" spans="1:8" ht="15" customHeight="1" x14ac:dyDescent="0.25">
      <c r="A90" s="22"/>
      <c r="H90" s="17"/>
    </row>
    <row r="91" spans="1:8" ht="15" customHeight="1" x14ac:dyDescent="0.25">
      <c r="A91" s="22"/>
      <c r="H91" s="17"/>
    </row>
    <row r="92" spans="1:8" ht="15" customHeight="1" x14ac:dyDescent="0.25">
      <c r="A92" s="22"/>
      <c r="H92" s="17"/>
    </row>
    <row r="93" spans="1:8" ht="15" customHeight="1" x14ac:dyDescent="0.25">
      <c r="A93" s="22"/>
      <c r="H93" s="17"/>
    </row>
    <row r="94" spans="1:8" ht="15" customHeight="1" x14ac:dyDescent="0.25">
      <c r="A94" s="22"/>
      <c r="H94" s="17"/>
    </row>
    <row r="95" spans="1:8" ht="15" customHeight="1" x14ac:dyDescent="0.25">
      <c r="A95" s="22"/>
      <c r="H95" s="17"/>
    </row>
    <row r="96" spans="1:8" ht="15" customHeight="1" x14ac:dyDescent="0.25">
      <c r="A96" s="22"/>
      <c r="H96" s="17"/>
    </row>
    <row r="97" spans="1:8" ht="15" customHeight="1" x14ac:dyDescent="0.25">
      <c r="A97" s="22"/>
      <c r="H97" s="17"/>
    </row>
    <row r="98" spans="1:8" ht="15" customHeight="1" x14ac:dyDescent="0.25">
      <c r="A98" s="22"/>
      <c r="H98" s="17"/>
    </row>
    <row r="99" spans="1:8" ht="15" customHeight="1" x14ac:dyDescent="0.25">
      <c r="A99" s="22"/>
      <c r="H99" s="17"/>
    </row>
    <row r="100" spans="1:8" ht="15" customHeight="1" x14ac:dyDescent="0.25">
      <c r="A100" s="22"/>
      <c r="H100" s="17"/>
    </row>
    <row r="101" spans="1:8" ht="15" customHeight="1" x14ac:dyDescent="0.25">
      <c r="A101" s="22"/>
      <c r="H101" s="17"/>
    </row>
    <row r="102" spans="1:8" ht="15" customHeight="1" x14ac:dyDescent="0.25">
      <c r="A102" s="22"/>
      <c r="H102" s="17"/>
    </row>
    <row r="103" spans="1:8" ht="15" customHeight="1" x14ac:dyDescent="0.25">
      <c r="A103" s="22"/>
      <c r="H103" s="17"/>
    </row>
    <row r="104" spans="1:8" ht="15" customHeight="1" x14ac:dyDescent="0.25">
      <c r="A104" s="22"/>
      <c r="H104" s="17"/>
    </row>
    <row r="105" spans="1:8" ht="15" customHeight="1" x14ac:dyDescent="0.25">
      <c r="A105" s="22"/>
      <c r="H105" s="17"/>
    </row>
    <row r="106" spans="1:8" ht="15" customHeight="1" x14ac:dyDescent="0.25">
      <c r="A106" s="22"/>
      <c r="H106" s="17"/>
    </row>
    <row r="107" spans="1:8" ht="15" customHeight="1" x14ac:dyDescent="0.25">
      <c r="A107" s="22"/>
      <c r="H107" s="17"/>
    </row>
    <row r="108" spans="1:8" ht="15" customHeight="1" x14ac:dyDescent="0.25">
      <c r="A108" s="22"/>
      <c r="H108" s="17"/>
    </row>
    <row r="109" spans="1:8" ht="15" customHeight="1" x14ac:dyDescent="0.25">
      <c r="A109" s="22"/>
      <c r="H109" s="17"/>
    </row>
    <row r="110" spans="1:8" ht="15" customHeight="1" x14ac:dyDescent="0.25">
      <c r="A110" s="22"/>
      <c r="H110" s="17"/>
    </row>
    <row r="111" spans="1:8" ht="15" customHeight="1" x14ac:dyDescent="0.25">
      <c r="A111" s="22"/>
      <c r="H111" s="17"/>
    </row>
    <row r="112" spans="1:8" ht="15" customHeight="1" x14ac:dyDescent="0.25">
      <c r="A112" s="22"/>
      <c r="H112" s="17"/>
    </row>
    <row r="113" spans="1:8" ht="15" customHeight="1" x14ac:dyDescent="0.25">
      <c r="A113" s="22"/>
      <c r="H113" s="17"/>
    </row>
    <row r="114" spans="1:8" ht="15" customHeight="1" x14ac:dyDescent="0.25">
      <c r="A114" s="22"/>
      <c r="H114" s="17"/>
    </row>
    <row r="115" spans="1:8" ht="15" customHeight="1" x14ac:dyDescent="0.25">
      <c r="A115" s="22"/>
      <c r="H115" s="17"/>
    </row>
    <row r="116" spans="1:8" ht="15" customHeight="1" x14ac:dyDescent="0.25">
      <c r="A116" s="22"/>
      <c r="H116" s="17"/>
    </row>
    <row r="117" spans="1:8" ht="15" customHeight="1" x14ac:dyDescent="0.25">
      <c r="A117" s="22"/>
      <c r="H117" s="17"/>
    </row>
    <row r="118" spans="1:8" ht="15" customHeight="1" x14ac:dyDescent="0.25">
      <c r="A118" s="22"/>
      <c r="H118" s="17"/>
    </row>
    <row r="119" spans="1:8" ht="15" customHeight="1" x14ac:dyDescent="0.25">
      <c r="A119" s="22"/>
      <c r="H119" s="17"/>
    </row>
    <row r="120" spans="1:8" ht="15" customHeight="1" x14ac:dyDescent="0.25">
      <c r="A120" s="22"/>
      <c r="H120" s="17"/>
    </row>
    <row r="121" spans="1:8" ht="15" customHeight="1" x14ac:dyDescent="0.25">
      <c r="A121" s="22"/>
      <c r="H121" s="17"/>
    </row>
    <row r="122" spans="1:8" ht="15" customHeight="1" x14ac:dyDescent="0.25">
      <c r="A122" s="22"/>
      <c r="H122" s="17"/>
    </row>
    <row r="123" spans="1:8" ht="15" customHeight="1" x14ac:dyDescent="0.25">
      <c r="A123" s="22"/>
      <c r="H123" s="17"/>
    </row>
    <row r="125" spans="1:8" ht="15" customHeight="1" x14ac:dyDescent="0.25">
      <c r="H125" s="17"/>
    </row>
  </sheetData>
  <mergeCells count="2">
    <mergeCell ref="A1:D1"/>
    <mergeCell ref="B3:D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"/>
  <sheetViews>
    <sheetView topLeftCell="A13" zoomScaleNormal="100" workbookViewId="0">
      <selection activeCell="E4" sqref="E4"/>
    </sheetView>
  </sheetViews>
  <sheetFormatPr baseColWidth="10" defaultColWidth="9.140625" defaultRowHeight="15" customHeight="1" x14ac:dyDescent="0.25"/>
  <cols>
    <col min="1" max="1" width="13" style="1" customWidth="1"/>
    <col min="2" max="2" width="16" style="1" customWidth="1"/>
    <col min="3" max="3" width="30" style="1" customWidth="1"/>
    <col min="4" max="4" width="12" style="1" customWidth="1"/>
    <col min="5" max="5" width="14" style="1" customWidth="1"/>
    <col min="6" max="6" width="12" style="1" customWidth="1"/>
    <col min="7" max="7" width="14" style="1" customWidth="1"/>
    <col min="8" max="8" width="17" style="1" customWidth="1"/>
    <col min="9" max="9" width="18" style="1" customWidth="1"/>
    <col min="10" max="10" width="30" style="1" customWidth="1"/>
  </cols>
  <sheetData>
    <row r="1" spans="1:10" ht="20.2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5" customHeight="1" x14ac:dyDescent="0.25">
      <c r="A2" s="36" t="s">
        <v>1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41.2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15" customHeight="1" x14ac:dyDescent="0.2">
      <c r="A4" s="13">
        <v>46273</v>
      </c>
      <c r="B4" s="2">
        <v>1</v>
      </c>
      <c r="C4" s="2" t="s">
        <v>12</v>
      </c>
      <c r="D4" s="2" t="s">
        <v>13</v>
      </c>
      <c r="E4" s="15">
        <v>1.5</v>
      </c>
      <c r="F4" s="2" t="s">
        <v>14</v>
      </c>
      <c r="G4" s="15">
        <v>1.5</v>
      </c>
      <c r="H4" s="20">
        <v>95</v>
      </c>
      <c r="I4" s="23" t="s">
        <v>15</v>
      </c>
      <c r="J4" s="24" t="s">
        <v>16</v>
      </c>
    </row>
    <row r="5" spans="1:10" ht="15" customHeight="1" x14ac:dyDescent="0.2">
      <c r="A5" s="13">
        <v>46272</v>
      </c>
      <c r="B5" s="2">
        <v>2</v>
      </c>
      <c r="C5" s="2" t="s">
        <v>17</v>
      </c>
      <c r="D5" s="2" t="s">
        <v>13</v>
      </c>
      <c r="E5" s="15">
        <v>1.8</v>
      </c>
      <c r="F5" s="2" t="s">
        <v>14</v>
      </c>
      <c r="G5" s="15">
        <v>1.8</v>
      </c>
      <c r="H5" s="20">
        <v>108</v>
      </c>
      <c r="I5" s="23" t="s">
        <v>15</v>
      </c>
      <c r="J5" s="2" t="s">
        <v>18</v>
      </c>
    </row>
    <row r="6" spans="1:10" ht="15" customHeight="1" x14ac:dyDescent="0.2">
      <c r="A6" s="13">
        <v>46272</v>
      </c>
      <c r="B6" s="2">
        <v>3</v>
      </c>
      <c r="C6" s="2" t="s">
        <v>19</v>
      </c>
      <c r="D6" s="2" t="s">
        <v>13</v>
      </c>
      <c r="E6" s="15">
        <v>0.105</v>
      </c>
      <c r="F6" s="2" t="s">
        <v>14</v>
      </c>
      <c r="G6" s="15">
        <v>0.105</v>
      </c>
      <c r="H6" s="20">
        <v>15</v>
      </c>
      <c r="I6" s="23" t="s">
        <v>15</v>
      </c>
      <c r="J6" s="2" t="s">
        <v>20</v>
      </c>
    </row>
    <row r="7" spans="1:10" ht="15" customHeight="1" x14ac:dyDescent="0.2">
      <c r="A7" s="13">
        <v>46273</v>
      </c>
      <c r="B7" s="2">
        <v>4</v>
      </c>
      <c r="C7" s="2" t="s">
        <v>21</v>
      </c>
      <c r="D7" s="2" t="s">
        <v>13</v>
      </c>
      <c r="E7" s="15">
        <v>0.21</v>
      </c>
      <c r="F7" s="2" t="s">
        <v>22</v>
      </c>
      <c r="G7" s="15">
        <v>0.21</v>
      </c>
      <c r="H7" s="20">
        <v>25</v>
      </c>
      <c r="I7" s="23" t="s">
        <v>15</v>
      </c>
      <c r="J7" s="2" t="s">
        <v>23</v>
      </c>
    </row>
    <row r="8" spans="1:10" ht="15" customHeight="1" x14ac:dyDescent="0.2">
      <c r="A8" s="13">
        <v>46273</v>
      </c>
      <c r="B8" s="2">
        <v>5</v>
      </c>
      <c r="C8" s="2" t="s">
        <v>24</v>
      </c>
      <c r="D8" s="2" t="s">
        <v>13</v>
      </c>
      <c r="E8" s="15">
        <v>0.5</v>
      </c>
      <c r="F8" s="2" t="s">
        <v>14</v>
      </c>
      <c r="G8" s="15">
        <v>0.5</v>
      </c>
      <c r="H8" s="20">
        <v>40</v>
      </c>
      <c r="I8" s="23" t="s">
        <v>15</v>
      </c>
      <c r="J8" s="2" t="s">
        <v>25</v>
      </c>
    </row>
    <row r="9" spans="1:10" ht="15" customHeight="1" x14ac:dyDescent="0.2">
      <c r="A9" s="13">
        <v>46273</v>
      </c>
      <c r="B9" s="2">
        <v>6</v>
      </c>
      <c r="C9" s="2" t="s">
        <v>26</v>
      </c>
      <c r="D9" s="2" t="s">
        <v>13</v>
      </c>
      <c r="E9" s="15">
        <v>1</v>
      </c>
      <c r="F9" s="2" t="s">
        <v>14</v>
      </c>
      <c r="G9" s="15">
        <v>1</v>
      </c>
      <c r="H9" s="20">
        <v>70</v>
      </c>
      <c r="I9" s="23" t="s">
        <v>15</v>
      </c>
      <c r="J9" s="2" t="s">
        <v>27</v>
      </c>
    </row>
    <row r="10" spans="1:10" ht="15" customHeight="1" x14ac:dyDescent="0.2">
      <c r="A10" s="13">
        <v>46273</v>
      </c>
      <c r="B10" s="2">
        <v>7</v>
      </c>
      <c r="C10" s="2" t="s">
        <v>28</v>
      </c>
      <c r="D10" s="2" t="s">
        <v>13</v>
      </c>
      <c r="E10" s="15">
        <v>1</v>
      </c>
      <c r="F10" s="2" t="s">
        <v>22</v>
      </c>
      <c r="G10" s="15">
        <v>1</v>
      </c>
      <c r="H10" s="20">
        <v>60</v>
      </c>
      <c r="I10" s="23" t="s">
        <v>15</v>
      </c>
      <c r="J10" s="2" t="s">
        <v>27</v>
      </c>
    </row>
    <row r="11" spans="1:10" ht="15" customHeight="1" x14ac:dyDescent="0.2">
      <c r="A11" s="13">
        <v>46273</v>
      </c>
      <c r="B11" s="2">
        <v>8</v>
      </c>
      <c r="C11" s="2" t="s">
        <v>29</v>
      </c>
      <c r="D11" s="2" t="s">
        <v>13</v>
      </c>
      <c r="E11" s="15">
        <v>1</v>
      </c>
      <c r="F11" s="2" t="s">
        <v>22</v>
      </c>
      <c r="G11" s="15">
        <v>1</v>
      </c>
      <c r="H11" s="20">
        <v>60</v>
      </c>
      <c r="I11" s="23" t="s">
        <v>15</v>
      </c>
      <c r="J11" s="2" t="s">
        <v>27</v>
      </c>
    </row>
    <row r="12" spans="1:10" ht="15" customHeight="1" x14ac:dyDescent="0.2">
      <c r="A12" s="13">
        <v>46274</v>
      </c>
      <c r="B12" s="2">
        <v>9</v>
      </c>
      <c r="C12" s="2" t="s">
        <v>30</v>
      </c>
      <c r="D12" s="2" t="s">
        <v>13</v>
      </c>
      <c r="E12" s="15">
        <v>0.3</v>
      </c>
      <c r="F12" s="2" t="s">
        <v>22</v>
      </c>
      <c r="G12" s="15">
        <v>0.3</v>
      </c>
      <c r="H12" s="20">
        <v>30</v>
      </c>
      <c r="I12" s="23" t="s">
        <v>15</v>
      </c>
      <c r="J12" s="2" t="s">
        <v>31</v>
      </c>
    </row>
    <row r="13" spans="1:10" ht="15" customHeight="1" x14ac:dyDescent="0.2">
      <c r="A13" s="13">
        <v>46274</v>
      </c>
      <c r="B13" s="2">
        <v>10</v>
      </c>
      <c r="C13" s="2" t="s">
        <v>32</v>
      </c>
      <c r="D13" s="2" t="s">
        <v>13</v>
      </c>
      <c r="E13" s="15">
        <v>0.21</v>
      </c>
      <c r="F13" s="2" t="s">
        <v>22</v>
      </c>
      <c r="G13" s="15">
        <v>0.21</v>
      </c>
      <c r="H13" s="20">
        <v>25</v>
      </c>
      <c r="I13" s="23" t="s">
        <v>15</v>
      </c>
      <c r="J13" s="2" t="s">
        <v>23</v>
      </c>
    </row>
    <row r="14" spans="1:10" ht="15" customHeight="1" x14ac:dyDescent="0.2">
      <c r="A14" s="13">
        <v>46274</v>
      </c>
      <c r="B14" s="2">
        <v>11</v>
      </c>
      <c r="C14" s="2" t="s">
        <v>33</v>
      </c>
      <c r="D14" s="2" t="s">
        <v>13</v>
      </c>
      <c r="E14" s="15">
        <v>0.8</v>
      </c>
      <c r="F14" s="2" t="s">
        <v>22</v>
      </c>
      <c r="G14" s="15">
        <v>0.8</v>
      </c>
      <c r="H14" s="20">
        <v>50</v>
      </c>
      <c r="I14" s="23" t="s">
        <v>15</v>
      </c>
      <c r="J14" s="2" t="s">
        <v>34</v>
      </c>
    </row>
    <row r="15" spans="1:10" ht="15" customHeight="1" x14ac:dyDescent="0.2">
      <c r="A15" s="13">
        <v>46274</v>
      </c>
      <c r="B15" s="2">
        <v>12</v>
      </c>
      <c r="C15" s="2" t="s">
        <v>35</v>
      </c>
      <c r="D15" s="2" t="s">
        <v>13</v>
      </c>
      <c r="E15" s="15">
        <v>1</v>
      </c>
      <c r="F15" s="2" t="s">
        <v>22</v>
      </c>
      <c r="G15" s="15">
        <v>1</v>
      </c>
      <c r="H15" s="20">
        <v>60</v>
      </c>
      <c r="I15" s="23" t="s">
        <v>15</v>
      </c>
      <c r="J15" s="2" t="s">
        <v>27</v>
      </c>
    </row>
    <row r="16" spans="1:10" ht="15" customHeight="1" x14ac:dyDescent="0.2">
      <c r="A16" s="13">
        <v>46274</v>
      </c>
      <c r="B16" s="2">
        <v>13</v>
      </c>
      <c r="C16" s="2" t="s">
        <v>36</v>
      </c>
      <c r="D16" s="2" t="s">
        <v>13</v>
      </c>
      <c r="E16" s="15">
        <v>0.502</v>
      </c>
      <c r="F16" s="2" t="s">
        <v>22</v>
      </c>
      <c r="G16" s="15">
        <v>0.5</v>
      </c>
      <c r="H16" s="20">
        <v>40</v>
      </c>
      <c r="I16" s="23" t="s">
        <v>15</v>
      </c>
      <c r="J16" s="2" t="s">
        <v>37</v>
      </c>
    </row>
    <row r="17" spans="1:10" ht="15" customHeight="1" x14ac:dyDescent="0.2">
      <c r="A17" s="13">
        <v>46243</v>
      </c>
      <c r="B17" s="2">
        <v>14</v>
      </c>
      <c r="C17" s="2" t="s">
        <v>33</v>
      </c>
      <c r="D17" s="2" t="s">
        <v>13</v>
      </c>
      <c r="E17" s="15">
        <v>0.6</v>
      </c>
      <c r="F17" s="2" t="s">
        <v>22</v>
      </c>
      <c r="G17" s="15">
        <v>0.6</v>
      </c>
      <c r="H17" s="20">
        <v>50</v>
      </c>
      <c r="I17" s="23" t="s">
        <v>15</v>
      </c>
      <c r="J17" s="2" t="s">
        <v>38</v>
      </c>
    </row>
    <row r="18" spans="1:10" ht="15" customHeight="1" x14ac:dyDescent="0.2">
      <c r="A18" s="13">
        <v>46274</v>
      </c>
      <c r="B18" s="2">
        <v>15</v>
      </c>
      <c r="C18" s="2" t="s">
        <v>39</v>
      </c>
      <c r="D18" s="2" t="s">
        <v>13</v>
      </c>
      <c r="E18" s="15">
        <v>0.15</v>
      </c>
      <c r="F18" s="2" t="s">
        <v>22</v>
      </c>
      <c r="G18" s="15">
        <v>0.15</v>
      </c>
      <c r="H18" s="20">
        <v>15</v>
      </c>
      <c r="I18" s="23" t="s">
        <v>15</v>
      </c>
      <c r="J18" s="2" t="s">
        <v>40</v>
      </c>
    </row>
    <row r="19" spans="1:10" ht="15" customHeight="1" x14ac:dyDescent="0.2">
      <c r="A19" s="13">
        <v>46275</v>
      </c>
      <c r="B19" s="2">
        <v>16</v>
      </c>
      <c r="C19" s="2" t="s">
        <v>102</v>
      </c>
      <c r="D19" s="2" t="s">
        <v>13</v>
      </c>
      <c r="E19" s="15">
        <v>0.11</v>
      </c>
      <c r="F19" s="2" t="s">
        <v>22</v>
      </c>
      <c r="G19" s="15">
        <v>0.11</v>
      </c>
      <c r="H19" s="20">
        <v>15</v>
      </c>
      <c r="I19" s="23" t="s">
        <v>15</v>
      </c>
      <c r="J19" s="2" t="s">
        <v>20</v>
      </c>
    </row>
    <row r="20" spans="1:10" ht="15" customHeight="1" x14ac:dyDescent="0.2">
      <c r="A20" s="13">
        <v>46275</v>
      </c>
      <c r="B20" s="2">
        <v>17</v>
      </c>
      <c r="C20" s="2" t="s">
        <v>110</v>
      </c>
      <c r="D20" s="2" t="s">
        <v>13</v>
      </c>
      <c r="E20" s="15">
        <v>0.11</v>
      </c>
      <c r="F20" s="2" t="s">
        <v>22</v>
      </c>
      <c r="G20" s="15">
        <v>0.11</v>
      </c>
      <c r="H20" s="20">
        <v>55</v>
      </c>
      <c r="I20" s="23" t="s">
        <v>15</v>
      </c>
      <c r="J20" s="2" t="s">
        <v>20</v>
      </c>
    </row>
    <row r="21" spans="1:10" ht="15" customHeight="1" x14ac:dyDescent="0.2">
      <c r="A21" s="13">
        <v>46275</v>
      </c>
      <c r="B21" s="2">
        <v>18</v>
      </c>
      <c r="C21" s="2" t="s">
        <v>103</v>
      </c>
      <c r="D21" s="2" t="s">
        <v>13</v>
      </c>
      <c r="E21" s="15">
        <v>1</v>
      </c>
      <c r="F21" s="2" t="s">
        <v>22</v>
      </c>
      <c r="G21" s="15">
        <v>1</v>
      </c>
      <c r="H21" s="20">
        <v>70</v>
      </c>
      <c r="I21" s="23" t="s">
        <v>15</v>
      </c>
      <c r="J21" s="2" t="s">
        <v>27</v>
      </c>
    </row>
    <row r="22" spans="1:10" ht="15" customHeight="1" x14ac:dyDescent="0.2">
      <c r="A22" s="13">
        <v>46275</v>
      </c>
      <c r="B22" s="2">
        <v>19</v>
      </c>
      <c r="C22" s="2" t="s">
        <v>35</v>
      </c>
      <c r="D22" s="2" t="s">
        <v>13</v>
      </c>
      <c r="E22" s="15">
        <v>0.21</v>
      </c>
      <c r="F22" s="2" t="s">
        <v>22</v>
      </c>
      <c r="G22" s="15">
        <v>0.21</v>
      </c>
      <c r="H22" s="20">
        <v>25</v>
      </c>
      <c r="I22" s="23" t="s">
        <v>15</v>
      </c>
      <c r="J22" s="2" t="s">
        <v>23</v>
      </c>
    </row>
    <row r="23" spans="1:10" ht="15" customHeight="1" x14ac:dyDescent="0.2">
      <c r="A23" s="13">
        <v>46275</v>
      </c>
      <c r="B23" s="2">
        <v>19</v>
      </c>
      <c r="C23" s="2" t="s">
        <v>104</v>
      </c>
      <c r="D23" s="2" t="s">
        <v>13</v>
      </c>
      <c r="E23" s="15">
        <v>0.5</v>
      </c>
      <c r="F23" s="2" t="s">
        <v>22</v>
      </c>
      <c r="G23" s="15">
        <v>0.5</v>
      </c>
      <c r="H23" s="20">
        <v>40</v>
      </c>
      <c r="I23" s="23" t="s">
        <v>105</v>
      </c>
      <c r="J23" s="2" t="s">
        <v>37</v>
      </c>
    </row>
    <row r="24" spans="1:10" ht="15" customHeight="1" x14ac:dyDescent="0.2">
      <c r="A24" s="13">
        <v>46276</v>
      </c>
      <c r="B24" s="2">
        <v>20</v>
      </c>
      <c r="C24" s="2" t="s">
        <v>106</v>
      </c>
      <c r="D24" s="2" t="s">
        <v>13</v>
      </c>
      <c r="E24" s="15">
        <v>0.5</v>
      </c>
      <c r="F24" s="2" t="s">
        <v>22</v>
      </c>
      <c r="G24" s="15">
        <v>0.5</v>
      </c>
      <c r="H24" s="20">
        <v>40</v>
      </c>
      <c r="I24" s="23" t="s">
        <v>15</v>
      </c>
      <c r="J24" s="2" t="s">
        <v>37</v>
      </c>
    </row>
    <row r="25" spans="1:10" ht="15" customHeight="1" x14ac:dyDescent="0.2">
      <c r="A25" s="13">
        <v>46276</v>
      </c>
      <c r="B25" s="2">
        <v>21</v>
      </c>
      <c r="C25" s="2" t="s">
        <v>107</v>
      </c>
      <c r="D25" s="2" t="s">
        <v>13</v>
      </c>
      <c r="E25" s="15">
        <v>0.25</v>
      </c>
      <c r="F25" s="2" t="s">
        <v>22</v>
      </c>
      <c r="G25" s="15">
        <v>0.25</v>
      </c>
      <c r="H25" s="20">
        <v>30</v>
      </c>
      <c r="I25" s="23" t="s">
        <v>15</v>
      </c>
      <c r="J25" s="2" t="s">
        <v>23</v>
      </c>
    </row>
    <row r="26" spans="1:10" ht="15" customHeight="1" x14ac:dyDescent="0.2">
      <c r="A26" s="13">
        <v>46276</v>
      </c>
      <c r="B26" s="2">
        <v>22</v>
      </c>
      <c r="C26" s="2" t="s">
        <v>108</v>
      </c>
      <c r="D26" s="2" t="s">
        <v>13</v>
      </c>
      <c r="E26" s="15">
        <v>0.21</v>
      </c>
      <c r="F26" s="2" t="s">
        <v>22</v>
      </c>
      <c r="G26" s="15">
        <v>0.21</v>
      </c>
      <c r="H26" s="20">
        <v>30</v>
      </c>
      <c r="I26" s="23" t="s">
        <v>15</v>
      </c>
      <c r="J26" s="2" t="s">
        <v>23</v>
      </c>
    </row>
    <row r="27" spans="1:10" ht="15" customHeight="1" x14ac:dyDescent="0.2">
      <c r="A27" s="13">
        <v>46276</v>
      </c>
      <c r="B27" s="2">
        <v>23</v>
      </c>
      <c r="C27" s="2" t="s">
        <v>109</v>
      </c>
      <c r="D27" s="2" t="s">
        <v>13</v>
      </c>
      <c r="E27" s="15">
        <v>0.15</v>
      </c>
      <c r="F27" s="2" t="s">
        <v>22</v>
      </c>
      <c r="G27" s="15">
        <v>0.15</v>
      </c>
      <c r="H27" s="20">
        <v>20</v>
      </c>
      <c r="I27" s="23" t="s">
        <v>15</v>
      </c>
      <c r="J27" s="2" t="s">
        <v>20</v>
      </c>
    </row>
    <row r="28" spans="1:10" ht="15" customHeight="1" x14ac:dyDescent="0.2">
      <c r="A28" s="13">
        <v>46276</v>
      </c>
      <c r="B28" s="2">
        <v>24</v>
      </c>
      <c r="C28" s="2" t="s">
        <v>35</v>
      </c>
      <c r="D28" s="2" t="s">
        <v>13</v>
      </c>
      <c r="E28" s="15">
        <v>0.5</v>
      </c>
      <c r="F28" s="2" t="s">
        <v>22</v>
      </c>
      <c r="G28" s="15">
        <v>0.5</v>
      </c>
      <c r="H28" s="20">
        <v>40</v>
      </c>
      <c r="I28" s="23" t="s">
        <v>15</v>
      </c>
      <c r="J28" s="2" t="s">
        <v>37</v>
      </c>
    </row>
    <row r="29" spans="1:10" ht="15" customHeight="1" x14ac:dyDescent="0.2">
      <c r="A29" s="13">
        <v>46277</v>
      </c>
      <c r="B29" s="2">
        <v>25</v>
      </c>
      <c r="C29" s="2" t="s">
        <v>111</v>
      </c>
      <c r="D29" s="2" t="s">
        <v>13</v>
      </c>
      <c r="E29" s="15">
        <v>2</v>
      </c>
      <c r="F29" s="2" t="s">
        <v>22</v>
      </c>
      <c r="G29" s="15">
        <v>2</v>
      </c>
      <c r="H29" s="20">
        <v>120</v>
      </c>
      <c r="I29" s="23" t="s">
        <v>105</v>
      </c>
      <c r="J29" s="2" t="s">
        <v>112</v>
      </c>
    </row>
    <row r="30" spans="1:10" ht="15" customHeight="1" x14ac:dyDescent="0.2">
      <c r="A30" s="13">
        <v>46277</v>
      </c>
      <c r="B30" s="2">
        <v>26</v>
      </c>
      <c r="C30" s="2" t="s">
        <v>113</v>
      </c>
      <c r="D30" s="2" t="s">
        <v>13</v>
      </c>
      <c r="E30" s="15">
        <v>2</v>
      </c>
      <c r="F30" s="2" t="s">
        <v>22</v>
      </c>
      <c r="G30" s="15">
        <v>2</v>
      </c>
      <c r="H30" s="20">
        <v>120</v>
      </c>
      <c r="I30" s="23" t="s">
        <v>15</v>
      </c>
      <c r="J30" s="2" t="s">
        <v>112</v>
      </c>
    </row>
    <row r="31" spans="1:10" ht="15" customHeight="1" x14ac:dyDescent="0.2">
      <c r="A31" s="13">
        <v>46277</v>
      </c>
      <c r="B31" s="2">
        <v>27</v>
      </c>
      <c r="C31" s="2" t="s">
        <v>114</v>
      </c>
      <c r="D31" s="2" t="s">
        <v>13</v>
      </c>
      <c r="E31" s="15">
        <v>0.21</v>
      </c>
      <c r="F31" s="2" t="s">
        <v>22</v>
      </c>
      <c r="G31" s="15">
        <v>0.21</v>
      </c>
      <c r="H31" s="20">
        <v>25</v>
      </c>
      <c r="I31" s="23" t="s">
        <v>15</v>
      </c>
      <c r="J31" s="2" t="s">
        <v>23</v>
      </c>
    </row>
    <row r="32" spans="1:10" ht="15" customHeight="1" x14ac:dyDescent="0.2">
      <c r="A32" s="13">
        <v>46277</v>
      </c>
      <c r="B32" s="2">
        <v>28</v>
      </c>
      <c r="C32" s="2" t="s">
        <v>115</v>
      </c>
      <c r="D32" s="2" t="s">
        <v>13</v>
      </c>
      <c r="E32" s="15">
        <v>0.1</v>
      </c>
      <c r="F32" s="2" t="s">
        <v>22</v>
      </c>
      <c r="G32" s="15">
        <v>0.1</v>
      </c>
      <c r="H32" s="20">
        <v>15</v>
      </c>
      <c r="I32" s="23" t="s">
        <v>15</v>
      </c>
      <c r="J32" s="2" t="s">
        <v>20</v>
      </c>
    </row>
    <row r="33" spans="1:10" ht="15" customHeight="1" x14ac:dyDescent="0.2">
      <c r="A33" s="13">
        <v>46277</v>
      </c>
      <c r="B33" s="2">
        <v>29</v>
      </c>
      <c r="C33" s="2" t="s">
        <v>116</v>
      </c>
      <c r="D33" s="2" t="s">
        <v>13</v>
      </c>
      <c r="E33" s="15">
        <v>0.11</v>
      </c>
      <c r="F33" s="2" t="s">
        <v>22</v>
      </c>
      <c r="G33" s="15">
        <v>0.11</v>
      </c>
      <c r="H33" s="20">
        <v>20</v>
      </c>
      <c r="I33" s="23" t="s">
        <v>15</v>
      </c>
      <c r="J33" s="2" t="s">
        <v>20</v>
      </c>
    </row>
    <row r="34" spans="1:10" ht="15" customHeight="1" x14ac:dyDescent="0.2">
      <c r="A34" s="13">
        <v>46279</v>
      </c>
      <c r="B34" s="2">
        <v>30</v>
      </c>
      <c r="C34" s="2" t="s">
        <v>102</v>
      </c>
      <c r="D34" s="2" t="s">
        <v>13</v>
      </c>
      <c r="E34" s="15">
        <v>0.5</v>
      </c>
      <c r="F34" s="2" t="s">
        <v>22</v>
      </c>
      <c r="G34" s="15">
        <v>0.5</v>
      </c>
      <c r="H34" s="20">
        <v>40</v>
      </c>
      <c r="I34" s="23" t="s">
        <v>15</v>
      </c>
      <c r="J34" s="2" t="s">
        <v>37</v>
      </c>
    </row>
    <row r="35" spans="1:10" ht="15" customHeight="1" x14ac:dyDescent="0.2">
      <c r="A35" s="13">
        <v>46279</v>
      </c>
      <c r="B35" s="2">
        <v>31</v>
      </c>
      <c r="C35" s="2" t="s">
        <v>117</v>
      </c>
      <c r="D35" s="2" t="s">
        <v>13</v>
      </c>
      <c r="E35" s="15">
        <v>0.1</v>
      </c>
      <c r="F35" s="2" t="s">
        <v>22</v>
      </c>
      <c r="G35" s="15">
        <v>0.1</v>
      </c>
      <c r="H35" s="20">
        <v>10</v>
      </c>
      <c r="I35" s="23" t="s">
        <v>15</v>
      </c>
      <c r="J35" s="2" t="s">
        <v>20</v>
      </c>
    </row>
    <row r="36" spans="1:10" ht="15" customHeight="1" x14ac:dyDescent="0.2">
      <c r="A36" s="13">
        <v>46279</v>
      </c>
      <c r="B36" s="2">
        <v>32</v>
      </c>
      <c r="C36" s="2" t="s">
        <v>118</v>
      </c>
      <c r="D36" s="2" t="s">
        <v>13</v>
      </c>
      <c r="E36" s="15">
        <v>0.15</v>
      </c>
      <c r="F36" s="2" t="s">
        <v>22</v>
      </c>
      <c r="G36" s="15">
        <v>0.15</v>
      </c>
      <c r="H36" s="20">
        <v>20</v>
      </c>
      <c r="I36" s="23" t="s">
        <v>15</v>
      </c>
      <c r="J36" s="2" t="s">
        <v>40</v>
      </c>
    </row>
    <row r="37" spans="1:10" ht="15" customHeight="1" x14ac:dyDescent="0.2">
      <c r="A37" s="13">
        <v>46279</v>
      </c>
      <c r="B37" s="2">
        <v>33</v>
      </c>
      <c r="C37" s="2" t="s">
        <v>119</v>
      </c>
      <c r="D37" s="2" t="s">
        <v>13</v>
      </c>
      <c r="E37" s="15">
        <v>2</v>
      </c>
      <c r="F37" s="2" t="s">
        <v>22</v>
      </c>
      <c r="G37" s="15">
        <v>2</v>
      </c>
      <c r="H37" s="20">
        <v>140</v>
      </c>
      <c r="I37" s="23" t="s">
        <v>15</v>
      </c>
      <c r="J37" s="2" t="s">
        <v>112</v>
      </c>
    </row>
    <row r="38" spans="1:10" ht="15" customHeight="1" x14ac:dyDescent="0.2">
      <c r="A38" s="13">
        <v>46279</v>
      </c>
      <c r="B38" s="2">
        <v>34</v>
      </c>
      <c r="C38" s="2" t="s">
        <v>120</v>
      </c>
      <c r="D38" s="2" t="s">
        <v>13</v>
      </c>
      <c r="E38" s="15">
        <v>2</v>
      </c>
      <c r="F38" s="2" t="s">
        <v>22</v>
      </c>
      <c r="G38" s="15">
        <v>2</v>
      </c>
      <c r="H38" s="20">
        <v>120</v>
      </c>
      <c r="I38" s="23" t="s">
        <v>15</v>
      </c>
      <c r="J38" s="2" t="s">
        <v>112</v>
      </c>
    </row>
    <row r="39" spans="1:10" ht="15" customHeight="1" x14ac:dyDescent="0.2">
      <c r="A39" s="13">
        <v>46280</v>
      </c>
      <c r="B39" s="2">
        <v>35</v>
      </c>
      <c r="C39" s="2" t="s">
        <v>121</v>
      </c>
      <c r="D39" s="2" t="s">
        <v>13</v>
      </c>
      <c r="E39" s="15">
        <v>0.5</v>
      </c>
      <c r="F39" s="2" t="s">
        <v>22</v>
      </c>
      <c r="G39" s="15">
        <v>0.5</v>
      </c>
      <c r="H39" s="20">
        <v>40</v>
      </c>
      <c r="I39" s="23" t="s">
        <v>15</v>
      </c>
      <c r="J39" s="2" t="s">
        <v>37</v>
      </c>
    </row>
    <row r="40" spans="1:10" ht="15" customHeight="1" x14ac:dyDescent="0.2">
      <c r="A40" s="13">
        <v>46280</v>
      </c>
      <c r="B40" s="2">
        <v>36</v>
      </c>
      <c r="C40" s="2" t="s">
        <v>35</v>
      </c>
      <c r="D40" s="2" t="s">
        <v>13</v>
      </c>
      <c r="E40" s="15">
        <v>1</v>
      </c>
      <c r="F40" s="2" t="s">
        <v>22</v>
      </c>
      <c r="G40" s="15">
        <v>1</v>
      </c>
      <c r="H40" s="20">
        <v>60</v>
      </c>
      <c r="I40" s="23" t="s">
        <v>15</v>
      </c>
      <c r="J40" s="2" t="s">
        <v>27</v>
      </c>
    </row>
    <row r="41" spans="1:10" ht="15" customHeight="1" x14ac:dyDescent="0.2">
      <c r="A41" s="13">
        <v>46280</v>
      </c>
      <c r="B41" s="2">
        <v>35</v>
      </c>
      <c r="C41" s="2" t="s">
        <v>122</v>
      </c>
      <c r="D41" s="2" t="s">
        <v>13</v>
      </c>
      <c r="E41" s="15">
        <v>0.21</v>
      </c>
      <c r="F41" s="2" t="s">
        <v>14</v>
      </c>
      <c r="G41" s="15">
        <v>0.21</v>
      </c>
      <c r="H41" s="20">
        <v>25</v>
      </c>
      <c r="I41" s="23" t="s">
        <v>15</v>
      </c>
      <c r="J41" s="2" t="s">
        <v>23</v>
      </c>
    </row>
    <row r="42" spans="1:10" ht="15" customHeight="1" x14ac:dyDescent="0.2">
      <c r="A42" s="13">
        <v>46280</v>
      </c>
      <c r="B42" s="2">
        <v>36</v>
      </c>
      <c r="C42" s="2" t="s">
        <v>123</v>
      </c>
      <c r="D42" s="2" t="s">
        <v>13</v>
      </c>
      <c r="E42" s="15">
        <v>0.11</v>
      </c>
      <c r="F42" s="2" t="s">
        <v>22</v>
      </c>
      <c r="G42" s="15">
        <v>0.11</v>
      </c>
      <c r="H42" s="20">
        <v>40</v>
      </c>
      <c r="I42" s="23" t="s">
        <v>15</v>
      </c>
      <c r="J42" s="2" t="s">
        <v>20</v>
      </c>
    </row>
    <row r="43" spans="1:10" ht="15" customHeight="1" x14ac:dyDescent="0.2">
      <c r="A43" s="13">
        <v>46280</v>
      </c>
      <c r="B43" s="2">
        <v>37</v>
      </c>
      <c r="C43" s="2" t="s">
        <v>124</v>
      </c>
      <c r="D43" s="2" t="s">
        <v>13</v>
      </c>
      <c r="E43" s="15">
        <v>3.2</v>
      </c>
      <c r="F43" s="2" t="s">
        <v>22</v>
      </c>
      <c r="G43" s="15">
        <v>3.2</v>
      </c>
      <c r="H43" s="20">
        <v>190.2</v>
      </c>
      <c r="I43" s="23" t="s">
        <v>15</v>
      </c>
      <c r="J43" s="2" t="s">
        <v>138</v>
      </c>
    </row>
    <row r="44" spans="1:10" ht="15" customHeight="1" x14ac:dyDescent="0.2">
      <c r="A44" s="13">
        <v>46280</v>
      </c>
      <c r="B44" s="2">
        <v>38</v>
      </c>
      <c r="C44" s="2" t="s">
        <v>114</v>
      </c>
      <c r="D44" s="2" t="s">
        <v>13</v>
      </c>
      <c r="E44" s="15">
        <v>0.11</v>
      </c>
      <c r="F44" s="2" t="s">
        <v>22</v>
      </c>
      <c r="G44" s="15">
        <v>0.11</v>
      </c>
      <c r="H44" s="20">
        <v>15</v>
      </c>
      <c r="I44" s="23" t="s">
        <v>15</v>
      </c>
      <c r="J44" s="2" t="s">
        <v>20</v>
      </c>
    </row>
    <row r="45" spans="1:10" ht="15" customHeight="1" x14ac:dyDescent="0.2">
      <c r="A45" s="13">
        <v>46281</v>
      </c>
      <c r="B45" s="2">
        <v>39</v>
      </c>
      <c r="C45" s="2" t="s">
        <v>114</v>
      </c>
      <c r="D45" s="2" t="s">
        <v>13</v>
      </c>
      <c r="E45" s="15">
        <v>0.11</v>
      </c>
      <c r="F45" s="2" t="s">
        <v>22</v>
      </c>
      <c r="G45" s="15">
        <v>0.11</v>
      </c>
      <c r="H45" s="20">
        <v>15</v>
      </c>
      <c r="I45" s="23" t="s">
        <v>15</v>
      </c>
      <c r="J45" s="2" t="s">
        <v>20</v>
      </c>
    </row>
    <row r="46" spans="1:10" ht="15" customHeight="1" x14ac:dyDescent="0.2">
      <c r="A46" s="13">
        <v>46281</v>
      </c>
      <c r="B46" s="2">
        <v>40</v>
      </c>
      <c r="C46" s="2" t="s">
        <v>125</v>
      </c>
      <c r="D46" s="2" t="s">
        <v>13</v>
      </c>
      <c r="E46" s="15">
        <v>0.15</v>
      </c>
      <c r="F46" s="2" t="s">
        <v>22</v>
      </c>
      <c r="G46" s="15">
        <v>0.11</v>
      </c>
      <c r="H46" s="20">
        <v>15</v>
      </c>
      <c r="I46" s="23" t="s">
        <v>15</v>
      </c>
      <c r="J46" s="2" t="s">
        <v>20</v>
      </c>
    </row>
    <row r="47" spans="1:10" ht="15" customHeight="1" x14ac:dyDescent="0.2">
      <c r="A47" s="13">
        <v>46281</v>
      </c>
      <c r="B47" s="2">
        <v>41</v>
      </c>
      <c r="C47" s="2" t="s">
        <v>126</v>
      </c>
      <c r="D47" s="2" t="s">
        <v>13</v>
      </c>
      <c r="E47" s="15">
        <v>0.11</v>
      </c>
      <c r="F47" s="2" t="s">
        <v>22</v>
      </c>
      <c r="G47" s="15">
        <v>0.11</v>
      </c>
      <c r="H47" s="20">
        <v>20</v>
      </c>
      <c r="I47" s="23" t="s">
        <v>15</v>
      </c>
      <c r="J47" s="2" t="s">
        <v>20</v>
      </c>
    </row>
    <row r="48" spans="1:10" ht="15" customHeight="1" x14ac:dyDescent="0.2">
      <c r="A48" s="13">
        <v>46281</v>
      </c>
      <c r="B48" s="2">
        <v>42</v>
      </c>
      <c r="C48" s="2" t="s">
        <v>122</v>
      </c>
      <c r="D48" s="2" t="s">
        <v>13</v>
      </c>
      <c r="E48" s="15">
        <v>0.3</v>
      </c>
      <c r="F48" s="2" t="s">
        <v>22</v>
      </c>
      <c r="G48" s="15">
        <v>0.3</v>
      </c>
      <c r="H48" s="20">
        <v>25</v>
      </c>
      <c r="I48" s="23" t="s">
        <v>15</v>
      </c>
      <c r="J48" s="2" t="s">
        <v>23</v>
      </c>
    </row>
    <row r="49" spans="1:10" ht="15" customHeight="1" x14ac:dyDescent="0.2">
      <c r="A49" s="13">
        <v>46281</v>
      </c>
      <c r="B49" s="2">
        <v>43</v>
      </c>
      <c r="C49" s="2" t="s">
        <v>127</v>
      </c>
      <c r="D49" s="2" t="s">
        <v>13</v>
      </c>
      <c r="E49" s="15">
        <v>0.15</v>
      </c>
      <c r="F49" s="2" t="s">
        <v>22</v>
      </c>
      <c r="G49" s="15">
        <v>0.15</v>
      </c>
      <c r="H49" s="20">
        <v>25</v>
      </c>
      <c r="I49" s="23" t="s">
        <v>15</v>
      </c>
      <c r="J49" s="2" t="s">
        <v>40</v>
      </c>
    </row>
    <row r="50" spans="1:10" ht="15" customHeight="1" x14ac:dyDescent="0.2">
      <c r="A50" s="13">
        <v>46281</v>
      </c>
      <c r="B50" s="2">
        <v>44</v>
      </c>
      <c r="C50" s="2" t="s">
        <v>106</v>
      </c>
      <c r="D50" s="2" t="s">
        <v>13</v>
      </c>
      <c r="E50" s="15">
        <v>2</v>
      </c>
      <c r="F50" s="2" t="s">
        <v>22</v>
      </c>
      <c r="G50" s="15">
        <v>2</v>
      </c>
      <c r="H50" s="20">
        <v>120</v>
      </c>
      <c r="I50" s="23" t="s">
        <v>15</v>
      </c>
      <c r="J50" s="2" t="s">
        <v>112</v>
      </c>
    </row>
    <row r="51" spans="1:10" ht="15" customHeight="1" x14ac:dyDescent="0.2">
      <c r="A51" s="13">
        <v>46282</v>
      </c>
      <c r="B51" s="2">
        <v>45</v>
      </c>
      <c r="C51" s="2" t="s">
        <v>128</v>
      </c>
      <c r="D51" s="2" t="s">
        <v>13</v>
      </c>
      <c r="E51" s="15">
        <v>0.5</v>
      </c>
      <c r="F51" s="2" t="s">
        <v>22</v>
      </c>
      <c r="G51" s="15">
        <v>0.5</v>
      </c>
      <c r="H51" s="20">
        <v>40</v>
      </c>
      <c r="I51" s="23" t="s">
        <v>15</v>
      </c>
      <c r="J51" s="2" t="s">
        <v>37</v>
      </c>
    </row>
    <row r="52" spans="1:10" ht="15" customHeight="1" x14ac:dyDescent="0.2">
      <c r="A52" s="13">
        <v>46282</v>
      </c>
      <c r="B52" s="2">
        <v>46</v>
      </c>
      <c r="C52" s="2" t="s">
        <v>129</v>
      </c>
      <c r="D52" s="2" t="s">
        <v>13</v>
      </c>
      <c r="E52" s="15">
        <v>0.11</v>
      </c>
      <c r="F52" s="2" t="s">
        <v>22</v>
      </c>
      <c r="G52" s="15">
        <v>0.11</v>
      </c>
      <c r="H52" s="20" t="s">
        <v>139</v>
      </c>
      <c r="I52" s="23" t="s">
        <v>15</v>
      </c>
      <c r="J52" s="2" t="s">
        <v>20</v>
      </c>
    </row>
    <row r="53" spans="1:10" ht="15" customHeight="1" x14ac:dyDescent="0.2">
      <c r="A53" s="13">
        <v>46282</v>
      </c>
      <c r="B53" s="2">
        <v>47</v>
      </c>
      <c r="C53" s="2" t="s">
        <v>130</v>
      </c>
      <c r="D53" s="2" t="s">
        <v>13</v>
      </c>
      <c r="E53" s="15">
        <v>2.5</v>
      </c>
      <c r="F53" s="2" t="s">
        <v>22</v>
      </c>
      <c r="G53" s="15">
        <v>2.5</v>
      </c>
      <c r="H53" s="20">
        <v>180</v>
      </c>
      <c r="I53" s="23" t="s">
        <v>15</v>
      </c>
      <c r="J53" s="2" t="s">
        <v>131</v>
      </c>
    </row>
    <row r="54" spans="1:10" ht="15" customHeight="1" x14ac:dyDescent="0.2">
      <c r="A54" s="13">
        <v>46282</v>
      </c>
      <c r="B54" s="2">
        <v>48</v>
      </c>
      <c r="C54" s="2" t="s">
        <v>132</v>
      </c>
      <c r="D54" s="2" t="s">
        <v>13</v>
      </c>
      <c r="E54" s="15">
        <v>0.1</v>
      </c>
      <c r="F54" s="2" t="s">
        <v>22</v>
      </c>
      <c r="G54" s="15">
        <v>0.1</v>
      </c>
      <c r="H54" s="20">
        <v>10</v>
      </c>
      <c r="I54" s="23" t="s">
        <v>15</v>
      </c>
      <c r="J54" s="2" t="s">
        <v>40</v>
      </c>
    </row>
    <row r="55" spans="1:10" ht="15" customHeight="1" x14ac:dyDescent="0.2">
      <c r="A55" s="13">
        <v>46282</v>
      </c>
      <c r="B55" s="2">
        <v>49</v>
      </c>
      <c r="C55" s="2" t="s">
        <v>35</v>
      </c>
      <c r="D55" s="2" t="s">
        <v>13</v>
      </c>
      <c r="E55" s="15">
        <v>0.15</v>
      </c>
      <c r="F55" s="2" t="s">
        <v>22</v>
      </c>
      <c r="G55" s="15">
        <v>0.11</v>
      </c>
      <c r="H55" s="20">
        <v>15</v>
      </c>
      <c r="I55" s="23" t="s">
        <v>15</v>
      </c>
      <c r="J55" s="2" t="s">
        <v>20</v>
      </c>
    </row>
    <row r="56" spans="1:10" ht="15" customHeight="1" x14ac:dyDescent="0.2">
      <c r="A56" s="13">
        <v>46282</v>
      </c>
      <c r="B56" s="2">
        <v>50</v>
      </c>
      <c r="C56" s="2" t="s">
        <v>35</v>
      </c>
      <c r="D56" s="2" t="s">
        <v>13</v>
      </c>
      <c r="E56" s="15">
        <v>0.15</v>
      </c>
      <c r="F56" s="2" t="s">
        <v>22</v>
      </c>
      <c r="G56" s="15">
        <v>0.11</v>
      </c>
      <c r="H56" s="20">
        <v>15</v>
      </c>
      <c r="I56" s="23" t="s">
        <v>15</v>
      </c>
      <c r="J56" s="2" t="s">
        <v>20</v>
      </c>
    </row>
    <row r="57" spans="1:10" ht="15" customHeight="1" x14ac:dyDescent="0.2">
      <c r="A57" s="13">
        <v>46283</v>
      </c>
      <c r="B57" s="2">
        <v>51</v>
      </c>
      <c r="C57" s="2" t="s">
        <v>133</v>
      </c>
      <c r="D57" s="2" t="s">
        <v>13</v>
      </c>
      <c r="E57" s="15">
        <v>0.11</v>
      </c>
      <c r="F57" s="2" t="s">
        <v>22</v>
      </c>
      <c r="G57" s="15">
        <v>0.11</v>
      </c>
      <c r="H57" s="20">
        <v>15</v>
      </c>
      <c r="I57" s="23" t="s">
        <v>15</v>
      </c>
      <c r="J57" s="2" t="s">
        <v>20</v>
      </c>
    </row>
    <row r="58" spans="1:10" ht="15" customHeight="1" x14ac:dyDescent="0.2">
      <c r="A58" s="13">
        <v>46283</v>
      </c>
      <c r="B58" s="2">
        <v>52</v>
      </c>
      <c r="C58" s="2" t="s">
        <v>134</v>
      </c>
      <c r="D58" s="2" t="s">
        <v>13</v>
      </c>
      <c r="E58" s="15">
        <v>0.11</v>
      </c>
      <c r="F58" s="2" t="s">
        <v>22</v>
      </c>
      <c r="G58" s="15">
        <v>0.11</v>
      </c>
      <c r="H58" s="20">
        <v>39</v>
      </c>
      <c r="I58" s="23" t="s">
        <v>15</v>
      </c>
      <c r="J58" s="2" t="s">
        <v>20</v>
      </c>
    </row>
    <row r="59" spans="1:10" ht="15" customHeight="1" x14ac:dyDescent="0.2">
      <c r="A59" s="13">
        <v>46283</v>
      </c>
      <c r="B59" s="2">
        <v>53</v>
      </c>
      <c r="C59" s="2" t="s">
        <v>135</v>
      </c>
      <c r="D59" s="2" t="s">
        <v>13</v>
      </c>
      <c r="E59" s="15">
        <v>0.11</v>
      </c>
      <c r="F59" s="2" t="s">
        <v>22</v>
      </c>
      <c r="G59" s="15">
        <v>0.11</v>
      </c>
      <c r="H59" s="20">
        <v>25</v>
      </c>
      <c r="I59" s="23" t="s">
        <v>15</v>
      </c>
      <c r="J59" s="2" t="s">
        <v>20</v>
      </c>
    </row>
    <row r="60" spans="1:10" ht="15" customHeight="1" x14ac:dyDescent="0.2">
      <c r="A60" s="13">
        <v>46283</v>
      </c>
      <c r="B60" s="2">
        <v>54</v>
      </c>
      <c r="C60" s="2" t="s">
        <v>116</v>
      </c>
      <c r="D60" s="2" t="s">
        <v>13</v>
      </c>
      <c r="E60" s="15">
        <v>0.11</v>
      </c>
      <c r="F60" s="2" t="s">
        <v>22</v>
      </c>
      <c r="G60" s="15">
        <v>0.11</v>
      </c>
      <c r="H60" s="20">
        <v>15</v>
      </c>
      <c r="I60" s="23" t="s">
        <v>15</v>
      </c>
      <c r="J60" s="2" t="s">
        <v>20</v>
      </c>
    </row>
    <row r="61" spans="1:10" ht="15" customHeight="1" x14ac:dyDescent="0.2">
      <c r="A61" s="13">
        <v>46283</v>
      </c>
      <c r="B61" s="2">
        <v>55</v>
      </c>
      <c r="C61" s="2" t="s">
        <v>123</v>
      </c>
      <c r="D61" s="2" t="s">
        <v>13</v>
      </c>
      <c r="E61" s="15">
        <v>0.11</v>
      </c>
      <c r="F61" s="2" t="s">
        <v>22</v>
      </c>
      <c r="G61" s="15">
        <v>0.11</v>
      </c>
      <c r="H61" s="20">
        <v>20</v>
      </c>
      <c r="I61" s="23" t="s">
        <v>15</v>
      </c>
      <c r="J61" s="2" t="s">
        <v>20</v>
      </c>
    </row>
    <row r="62" spans="1:10" ht="15" customHeight="1" x14ac:dyDescent="0.2">
      <c r="A62" s="13">
        <v>46283</v>
      </c>
      <c r="B62" s="2">
        <v>56</v>
      </c>
      <c r="C62" s="2" t="s">
        <v>136</v>
      </c>
      <c r="D62" s="2" t="s">
        <v>13</v>
      </c>
      <c r="E62" s="15">
        <v>0.5</v>
      </c>
      <c r="F62" s="2" t="s">
        <v>22</v>
      </c>
      <c r="G62" s="15">
        <v>0.5</v>
      </c>
      <c r="H62" s="20">
        <v>40</v>
      </c>
      <c r="I62" s="23" t="s">
        <v>105</v>
      </c>
      <c r="J62" s="2" t="s">
        <v>37</v>
      </c>
    </row>
    <row r="63" spans="1:10" ht="15" customHeight="1" x14ac:dyDescent="0.2">
      <c r="A63" s="13">
        <v>46283</v>
      </c>
      <c r="B63" s="2">
        <v>57</v>
      </c>
      <c r="C63" s="2" t="s">
        <v>35</v>
      </c>
      <c r="D63" s="2" t="s">
        <v>13</v>
      </c>
      <c r="E63" s="15">
        <v>0.11</v>
      </c>
      <c r="F63" s="2" t="s">
        <v>22</v>
      </c>
      <c r="G63" s="15">
        <v>0.11</v>
      </c>
      <c r="H63" s="20">
        <v>15</v>
      </c>
      <c r="I63" s="23" t="s">
        <v>15</v>
      </c>
      <c r="J63" s="2" t="s">
        <v>20</v>
      </c>
    </row>
    <row r="64" spans="1:10" ht="15" customHeight="1" x14ac:dyDescent="0.2">
      <c r="A64" s="13">
        <v>46283</v>
      </c>
      <c r="B64" s="2">
        <v>58</v>
      </c>
      <c r="C64" s="2" t="s">
        <v>137</v>
      </c>
      <c r="D64" s="2" t="s">
        <v>13</v>
      </c>
      <c r="E64" s="15">
        <v>0.11</v>
      </c>
      <c r="F64" s="2" t="s">
        <v>22</v>
      </c>
      <c r="G64" s="15">
        <v>0.11</v>
      </c>
      <c r="H64" s="20">
        <v>20</v>
      </c>
      <c r="I64" s="23" t="s">
        <v>105</v>
      </c>
      <c r="J64" s="2" t="s">
        <v>20</v>
      </c>
    </row>
    <row r="65" spans="1:10" ht="15" customHeight="1" x14ac:dyDescent="0.2">
      <c r="A65" s="13"/>
      <c r="B65" s="2"/>
      <c r="C65" s="2"/>
      <c r="D65" s="2"/>
      <c r="E65" s="15"/>
      <c r="F65" s="2"/>
      <c r="G65" s="15"/>
      <c r="H65" s="20"/>
      <c r="I65" s="23"/>
      <c r="J65" s="2"/>
    </row>
    <row r="66" spans="1:10" ht="15" customHeight="1" x14ac:dyDescent="0.2">
      <c r="A66" s="13"/>
      <c r="B66" s="2"/>
      <c r="C66" s="2"/>
      <c r="D66" s="2"/>
      <c r="E66" s="15"/>
      <c r="F66" s="2"/>
      <c r="G66" s="15"/>
      <c r="H66" s="20"/>
      <c r="I66" s="23"/>
      <c r="J66" s="2"/>
    </row>
    <row r="67" spans="1:10" ht="15" customHeight="1" x14ac:dyDescent="0.2">
      <c r="A67" s="13"/>
      <c r="B67" s="2"/>
      <c r="C67" s="2"/>
      <c r="D67" s="2"/>
      <c r="E67" s="15"/>
      <c r="F67" s="2"/>
      <c r="G67" s="15"/>
      <c r="H67" s="20"/>
      <c r="I67" s="23"/>
      <c r="J67" s="2"/>
    </row>
    <row r="68" spans="1:10" ht="15" customHeight="1" x14ac:dyDescent="0.2">
      <c r="A68" s="13"/>
      <c r="B68" s="2"/>
      <c r="C68" s="2"/>
      <c r="D68" s="2"/>
      <c r="E68" s="15"/>
      <c r="F68" s="2"/>
      <c r="G68" s="15"/>
      <c r="H68" s="20"/>
      <c r="I68" s="23"/>
      <c r="J68" s="2"/>
    </row>
    <row r="69" spans="1:10" ht="15" customHeight="1" x14ac:dyDescent="0.2">
      <c r="A69" s="13"/>
      <c r="B69" s="2"/>
      <c r="C69" s="2"/>
      <c r="D69" s="2"/>
      <c r="E69" s="15"/>
      <c r="F69" s="2"/>
      <c r="G69" s="15"/>
      <c r="H69" s="20"/>
      <c r="I69" s="23"/>
      <c r="J69" s="2"/>
    </row>
    <row r="70" spans="1:10" ht="15" customHeight="1" x14ac:dyDescent="0.2">
      <c r="A70" s="13"/>
      <c r="B70" s="2"/>
      <c r="C70" s="2"/>
      <c r="D70" s="2"/>
      <c r="E70" s="15"/>
      <c r="F70" s="2"/>
      <c r="G70" s="15"/>
      <c r="H70" s="20"/>
      <c r="I70" s="23"/>
      <c r="J70" s="2"/>
    </row>
    <row r="71" spans="1:10" ht="15" customHeight="1" x14ac:dyDescent="0.2">
      <c r="A71" s="13"/>
      <c r="B71" s="2"/>
      <c r="C71" s="2"/>
      <c r="D71" s="2"/>
      <c r="E71" s="15"/>
      <c r="F71" s="2"/>
      <c r="G71" s="15"/>
      <c r="H71" s="20"/>
      <c r="I71" s="23"/>
      <c r="J71" s="2"/>
    </row>
    <row r="72" spans="1:10" ht="15" customHeight="1" x14ac:dyDescent="0.2">
      <c r="A72" s="13"/>
      <c r="B72" s="2"/>
      <c r="C72" s="2"/>
      <c r="D72" s="2"/>
      <c r="E72" s="15"/>
      <c r="F72" s="2"/>
      <c r="G72" s="15"/>
      <c r="H72" s="20"/>
      <c r="I72" s="23"/>
      <c r="J72" s="2"/>
    </row>
    <row r="73" spans="1:10" ht="15" customHeight="1" x14ac:dyDescent="0.2">
      <c r="A73" s="13"/>
      <c r="B73" s="2"/>
      <c r="C73" s="2"/>
      <c r="D73" s="2"/>
      <c r="E73" s="15"/>
      <c r="F73" s="2"/>
      <c r="G73" s="15"/>
      <c r="H73" s="20"/>
      <c r="I73" s="23"/>
      <c r="J73" s="2"/>
    </row>
    <row r="74" spans="1:10" ht="15" customHeight="1" x14ac:dyDescent="0.2">
      <c r="A74" s="13"/>
      <c r="B74" s="2"/>
      <c r="C74" s="2"/>
      <c r="D74" s="2"/>
      <c r="E74" s="15"/>
      <c r="F74" s="2"/>
      <c r="G74" s="15"/>
      <c r="H74" s="20"/>
      <c r="I74" s="23"/>
      <c r="J74" s="2"/>
    </row>
    <row r="75" spans="1:10" ht="15" customHeight="1" x14ac:dyDescent="0.2">
      <c r="A75" s="13"/>
      <c r="B75" s="2"/>
      <c r="C75" s="2"/>
      <c r="D75" s="2"/>
      <c r="E75" s="15"/>
      <c r="F75" s="2"/>
      <c r="G75" s="15"/>
      <c r="H75" s="20"/>
      <c r="I75" s="23"/>
      <c r="J75" s="2"/>
    </row>
    <row r="76" spans="1:10" ht="15" customHeight="1" x14ac:dyDescent="0.2">
      <c r="A76" s="13"/>
      <c r="B76" s="2"/>
      <c r="C76" s="2"/>
      <c r="D76" s="2"/>
      <c r="E76" s="15"/>
      <c r="F76" s="2"/>
      <c r="G76" s="15"/>
      <c r="H76" s="20"/>
      <c r="I76" s="23"/>
      <c r="J76" s="2"/>
    </row>
    <row r="77" spans="1:10" ht="15" customHeight="1" x14ac:dyDescent="0.2">
      <c r="A77" s="13"/>
      <c r="B77" s="2"/>
      <c r="C77" s="2"/>
      <c r="D77" s="2"/>
      <c r="E77" s="15"/>
      <c r="F77" s="2"/>
      <c r="G77" s="15"/>
      <c r="H77" s="20"/>
      <c r="I77" s="23"/>
      <c r="J77" s="2"/>
    </row>
    <row r="78" spans="1:10" ht="15" customHeight="1" x14ac:dyDescent="0.2">
      <c r="A78" s="13"/>
      <c r="B78" s="2"/>
      <c r="C78" s="2"/>
      <c r="D78" s="2"/>
      <c r="E78" s="15"/>
      <c r="F78" s="2"/>
      <c r="G78" s="15"/>
      <c r="H78" s="20"/>
      <c r="I78" s="23"/>
      <c r="J78" s="2"/>
    </row>
    <row r="79" spans="1:10" ht="15" customHeight="1" x14ac:dyDescent="0.2">
      <c r="A79" s="13"/>
      <c r="B79" s="2"/>
      <c r="C79" s="2"/>
      <c r="D79" s="2"/>
      <c r="E79" s="15"/>
      <c r="F79" s="2"/>
      <c r="G79" s="15"/>
      <c r="H79" s="20"/>
      <c r="I79" s="23"/>
      <c r="J79" s="2"/>
    </row>
    <row r="80" spans="1:10" ht="15" customHeight="1" x14ac:dyDescent="0.2">
      <c r="A80" s="13"/>
      <c r="B80" s="2"/>
      <c r="C80" s="2"/>
      <c r="D80" s="2"/>
      <c r="E80" s="15"/>
      <c r="F80" s="2"/>
      <c r="G80" s="15"/>
      <c r="H80" s="20"/>
      <c r="I80" s="23"/>
      <c r="J80" s="2"/>
    </row>
    <row r="81" spans="1:10" ht="15" customHeight="1" x14ac:dyDescent="0.2">
      <c r="A81" s="13"/>
      <c r="B81" s="2"/>
      <c r="C81" s="2"/>
      <c r="D81" s="2"/>
      <c r="E81" s="15"/>
      <c r="F81" s="2"/>
      <c r="G81" s="15"/>
      <c r="H81" s="20"/>
      <c r="I81" s="23"/>
      <c r="J81" s="2"/>
    </row>
    <row r="82" spans="1:10" ht="15" customHeight="1" x14ac:dyDescent="0.2">
      <c r="A82" s="13"/>
      <c r="B82" s="2"/>
      <c r="C82" s="2"/>
      <c r="D82" s="2"/>
      <c r="E82" s="15"/>
      <c r="F82" s="2"/>
      <c r="G82" s="15"/>
      <c r="H82" s="20"/>
      <c r="I82" s="23"/>
      <c r="J82" s="2"/>
    </row>
    <row r="83" spans="1:10" ht="15" customHeight="1" x14ac:dyDescent="0.2">
      <c r="A83" s="13"/>
      <c r="B83" s="2"/>
      <c r="C83" s="2"/>
      <c r="D83" s="2"/>
      <c r="E83" s="15"/>
      <c r="F83" s="2"/>
      <c r="G83" s="15"/>
      <c r="H83" s="20"/>
      <c r="I83" s="23"/>
      <c r="J83" s="2"/>
    </row>
    <row r="84" spans="1:10" ht="15" customHeight="1" x14ac:dyDescent="0.2">
      <c r="A84" s="13"/>
      <c r="B84" s="2"/>
      <c r="C84" s="2"/>
      <c r="D84" s="2"/>
      <c r="E84" s="15"/>
      <c r="F84" s="2"/>
      <c r="G84" s="15"/>
      <c r="H84" s="20"/>
      <c r="I84" s="23"/>
      <c r="J84" s="2"/>
    </row>
    <row r="85" spans="1:10" ht="15" customHeight="1" x14ac:dyDescent="0.2">
      <c r="A85" s="13"/>
      <c r="B85" s="2"/>
      <c r="C85" s="2"/>
      <c r="D85" s="2"/>
      <c r="E85" s="15"/>
      <c r="F85" s="2"/>
      <c r="G85" s="15"/>
      <c r="H85" s="20"/>
      <c r="I85" s="23"/>
      <c r="J85" s="2"/>
    </row>
    <row r="86" spans="1:10" ht="15" customHeight="1" x14ac:dyDescent="0.2">
      <c r="A86" s="13"/>
      <c r="B86" s="2"/>
      <c r="C86" s="2"/>
      <c r="D86" s="2"/>
      <c r="E86" s="15"/>
      <c r="F86" s="2"/>
      <c r="G86" s="15"/>
      <c r="H86" s="20"/>
      <c r="I86" s="23"/>
      <c r="J86" s="2"/>
    </row>
    <row r="87" spans="1:10" ht="15" customHeight="1" x14ac:dyDescent="0.2">
      <c r="A87" s="13"/>
      <c r="B87" s="2"/>
      <c r="C87" s="2"/>
      <c r="D87" s="2"/>
      <c r="E87" s="15"/>
      <c r="F87" s="2"/>
      <c r="G87" s="15"/>
      <c r="H87" s="20"/>
      <c r="I87" s="23"/>
      <c r="J87" s="2"/>
    </row>
    <row r="88" spans="1:10" ht="15" customHeight="1" x14ac:dyDescent="0.2">
      <c r="A88" s="13"/>
      <c r="B88" s="2"/>
      <c r="C88" s="2"/>
      <c r="D88" s="2"/>
      <c r="E88" s="15"/>
      <c r="F88" s="2"/>
      <c r="G88" s="15"/>
      <c r="H88" s="20"/>
      <c r="I88" s="23"/>
      <c r="J88" s="2"/>
    </row>
    <row r="89" spans="1:10" ht="15" customHeight="1" x14ac:dyDescent="0.2">
      <c r="A89" s="13"/>
      <c r="B89" s="2"/>
      <c r="C89" s="2"/>
      <c r="D89" s="2"/>
      <c r="E89" s="15"/>
      <c r="F89" s="2"/>
      <c r="G89" s="15"/>
      <c r="H89" s="20"/>
      <c r="I89" s="23"/>
      <c r="J89" s="2"/>
    </row>
    <row r="90" spans="1:10" ht="15" customHeight="1" x14ac:dyDescent="0.2">
      <c r="A90" s="13"/>
      <c r="B90" s="2"/>
      <c r="C90" s="2"/>
      <c r="D90" s="2"/>
      <c r="E90" s="15"/>
      <c r="F90" s="2"/>
      <c r="G90" s="15"/>
      <c r="H90" s="20"/>
      <c r="I90" s="23"/>
      <c r="J90" s="2"/>
    </row>
    <row r="91" spans="1:10" ht="15" customHeight="1" x14ac:dyDescent="0.2">
      <c r="A91" s="13"/>
      <c r="B91" s="2"/>
      <c r="C91" s="2"/>
      <c r="D91" s="2"/>
      <c r="E91" s="15"/>
      <c r="F91" s="2"/>
      <c r="G91" s="15"/>
      <c r="H91" s="20"/>
      <c r="I91" s="23"/>
      <c r="J91" s="2"/>
    </row>
    <row r="92" spans="1:10" ht="15" customHeight="1" x14ac:dyDescent="0.2">
      <c r="A92" s="13"/>
      <c r="B92" s="2"/>
      <c r="C92" s="2"/>
      <c r="D92" s="2"/>
      <c r="E92" s="15"/>
      <c r="F92" s="2"/>
      <c r="G92" s="15"/>
      <c r="H92" s="20"/>
      <c r="I92" s="23"/>
      <c r="J92" s="2"/>
    </row>
    <row r="93" spans="1:10" ht="15" customHeight="1" x14ac:dyDescent="0.2">
      <c r="A93" s="13"/>
      <c r="B93" s="2"/>
      <c r="C93" s="2"/>
      <c r="D93" s="2"/>
      <c r="E93" s="15"/>
      <c r="F93" s="2"/>
      <c r="G93" s="15"/>
      <c r="H93" s="20"/>
      <c r="I93" s="23"/>
      <c r="J93" s="2"/>
    </row>
    <row r="94" spans="1:10" ht="15" customHeight="1" x14ac:dyDescent="0.2">
      <c r="A94" s="13"/>
      <c r="B94" s="2"/>
      <c r="C94" s="2"/>
      <c r="D94" s="2"/>
      <c r="E94" s="15"/>
      <c r="F94" s="2"/>
      <c r="G94" s="15"/>
      <c r="H94" s="20"/>
      <c r="I94" s="23"/>
      <c r="J94" s="2"/>
    </row>
    <row r="95" spans="1:10" ht="15" customHeight="1" x14ac:dyDescent="0.2">
      <c r="A95" s="13"/>
      <c r="B95" s="2"/>
      <c r="C95" s="2"/>
      <c r="D95" s="2"/>
      <c r="E95" s="15"/>
      <c r="F95" s="2"/>
      <c r="G95" s="15"/>
      <c r="H95" s="20"/>
      <c r="I95" s="23"/>
      <c r="J95" s="2"/>
    </row>
    <row r="96" spans="1:10" ht="15" customHeight="1" x14ac:dyDescent="0.2">
      <c r="A96" s="13"/>
      <c r="B96" s="2"/>
      <c r="C96" s="2"/>
      <c r="D96" s="2"/>
      <c r="E96" s="15"/>
      <c r="F96" s="2"/>
      <c r="G96" s="15"/>
      <c r="H96" s="20"/>
      <c r="I96" s="23"/>
      <c r="J96" s="2"/>
    </row>
    <row r="97" spans="1:10" ht="15" customHeight="1" x14ac:dyDescent="0.2">
      <c r="A97" s="13"/>
      <c r="B97" s="2"/>
      <c r="C97" s="2"/>
      <c r="D97" s="2"/>
      <c r="E97" s="15"/>
      <c r="F97" s="2"/>
      <c r="G97" s="15"/>
      <c r="H97" s="20"/>
      <c r="I97" s="23"/>
      <c r="J97" s="2"/>
    </row>
    <row r="98" spans="1:10" ht="15" customHeight="1" x14ac:dyDescent="0.2">
      <c r="A98" s="13"/>
      <c r="B98" s="2"/>
      <c r="C98" s="2"/>
      <c r="D98" s="2"/>
      <c r="E98" s="15"/>
      <c r="F98" s="2"/>
      <c r="G98" s="15"/>
      <c r="H98" s="20"/>
      <c r="I98" s="23"/>
      <c r="J98" s="2"/>
    </row>
    <row r="99" spans="1:10" ht="15" customHeight="1" x14ac:dyDescent="0.2">
      <c r="A99" s="13"/>
      <c r="B99" s="2"/>
      <c r="C99" s="2"/>
      <c r="D99" s="2"/>
      <c r="E99" s="15"/>
      <c r="F99" s="2"/>
      <c r="G99" s="15"/>
      <c r="H99" s="20"/>
      <c r="I99" s="23"/>
      <c r="J99" s="2"/>
    </row>
    <row r="100" spans="1:10" ht="15" customHeight="1" x14ac:dyDescent="0.2">
      <c r="A100" s="13"/>
      <c r="B100" s="2"/>
      <c r="C100" s="2"/>
      <c r="D100" s="2"/>
      <c r="E100" s="15"/>
      <c r="F100" s="2"/>
      <c r="G100" s="15"/>
      <c r="H100" s="20"/>
      <c r="I100" s="23"/>
      <c r="J100" s="2"/>
    </row>
    <row r="101" spans="1:10" ht="15" customHeight="1" x14ac:dyDescent="0.2">
      <c r="A101" s="13"/>
      <c r="B101" s="2"/>
      <c r="C101" s="2"/>
      <c r="D101" s="2"/>
      <c r="E101" s="15"/>
      <c r="F101" s="2"/>
      <c r="G101" s="15"/>
      <c r="H101" s="20"/>
      <c r="I101" s="23"/>
      <c r="J101" s="2"/>
    </row>
    <row r="102" spans="1:10" ht="15" customHeight="1" x14ac:dyDescent="0.2">
      <c r="A102" s="13"/>
      <c r="B102" s="2"/>
      <c r="C102" s="2"/>
      <c r="D102" s="2"/>
      <c r="E102" s="15"/>
      <c r="F102" s="2"/>
      <c r="G102" s="15"/>
      <c r="H102" s="20"/>
      <c r="I102" s="23"/>
      <c r="J102" s="2"/>
    </row>
    <row r="103" spans="1:10" ht="15" customHeight="1" x14ac:dyDescent="0.2">
      <c r="A103" s="13"/>
      <c r="B103" s="2"/>
      <c r="C103" s="2"/>
      <c r="D103" s="2"/>
      <c r="E103" s="15"/>
      <c r="F103" s="2"/>
      <c r="G103" s="15"/>
      <c r="H103" s="20"/>
      <c r="I103" s="23"/>
      <c r="J103" s="2"/>
    </row>
  </sheetData>
  <mergeCells count="2">
    <mergeCell ref="A1:J1"/>
    <mergeCell ref="A2:J2"/>
  </mergeCells>
  <dataValidations count="1">
    <dataValidation type="list" allowBlank="1" showInputMessage="1" showErrorMessage="1" errorTitle="Método de pago" error="Selecciona una de las tres opciones: Efectivo, Yapeo o Transferencia." promptTitle="Selecciona método de pago" prompt="Haz clic en la flecha y elige el método de pago." sqref="I4:I103" xr:uid="{00000000-0002-0000-0100-000000000000}">
      <formula1>"Efectivo,Yapeo,Transferencia"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Configuración!$J$2:$J$101</xm:f>
          </x14:formula1>
          <xm:sqref>D4:D22 D29:D103</xm:sqref>
        </x14:dataValidation>
        <x14:dataValidation type="list" allowBlank="1" xr:uid="{00000000-0002-0000-0100-000002000000}">
          <x14:formula1>
            <xm:f>Configuración!$K$2:$K$101</xm:f>
          </x14:formula1>
          <xm:sqref>F4:F22 F29:F103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zoomScaleNormal="100" workbookViewId="0">
      <selection activeCell="E13" sqref="E13"/>
    </sheetView>
  </sheetViews>
  <sheetFormatPr baseColWidth="10" defaultColWidth="9.140625" defaultRowHeight="15" customHeight="1" x14ac:dyDescent="0.25"/>
  <cols>
    <col min="1" max="1" width="9" style="1" customWidth="1"/>
    <col min="2" max="5" width="14" style="1" customWidth="1"/>
    <col min="6" max="7" width="17" style="1" customWidth="1"/>
    <col min="8" max="8" width="16" style="1" customWidth="1"/>
    <col min="9" max="10" width="12" style="1" customWidth="1"/>
    <col min="11" max="11" width="11" style="1" customWidth="1"/>
    <col min="12" max="13" width="17" style="1" customWidth="1"/>
  </cols>
  <sheetData>
    <row r="1" spans="1:13" ht="15" customHeight="1" x14ac:dyDescent="0.2">
      <c r="A1" s="25" t="s">
        <v>55</v>
      </c>
      <c r="B1" s="25" t="s">
        <v>56</v>
      </c>
      <c r="C1" s="25" t="s">
        <v>57</v>
      </c>
      <c r="D1" s="25" t="s">
        <v>58</v>
      </c>
      <c r="E1" s="25" t="s">
        <v>46</v>
      </c>
      <c r="F1" s="25" t="s">
        <v>47</v>
      </c>
      <c r="G1" s="25" t="s">
        <v>48</v>
      </c>
      <c r="H1" s="25" t="s">
        <v>61</v>
      </c>
      <c r="I1" s="25" t="s">
        <v>62</v>
      </c>
      <c r="J1" s="25" t="s">
        <v>63</v>
      </c>
      <c r="K1" s="25" t="s">
        <v>59</v>
      </c>
      <c r="L1" s="25" t="s">
        <v>64</v>
      </c>
      <c r="M1" s="25" t="s">
        <v>60</v>
      </c>
    </row>
    <row r="2" spans="1:13" ht="15" customHeight="1" x14ac:dyDescent="0.2">
      <c r="A2" s="26" t="s">
        <v>65</v>
      </c>
      <c r="B2" s="26" t="str">
        <f>IF(A2="","",A2&amp;"-"&amp;TEXT(COUNTIF($A$2:A2,A2),"000"))</f>
        <v>A-001</v>
      </c>
      <c r="C2" s="27">
        <v>46272</v>
      </c>
      <c r="D2" s="27"/>
      <c r="E2" s="28">
        <f>Configuración!B3</f>
        <v>100</v>
      </c>
      <c r="F2" s="28">
        <f>SUMIF('Registro de trabajos'!D:D,B2,'Registro de trabajos'!E:E)</f>
        <v>36.116999999999997</v>
      </c>
      <c r="G2" s="28">
        <f>MAX(0,E2-F2)</f>
        <v>63.883000000000003</v>
      </c>
      <c r="H2" s="26">
        <f>SUMIF('Registro de trabajos'!D:D,B2,'Registro de trabajos'!H:H)</f>
        <v>2777.2</v>
      </c>
      <c r="I2" s="26">
        <f>Configuración!B4</f>
        <v>0</v>
      </c>
      <c r="J2" s="26">
        <f>H2-I2</f>
        <v>2777.2</v>
      </c>
      <c r="K2" s="26">
        <f>COUNTIF('Registro de trabajos'!D:D,B2)</f>
        <v>61</v>
      </c>
      <c r="L2" s="28">
        <f>SUMIF('Registro de trabajos'!D:D,B2,'Registro de trabajos'!G:G)</f>
        <v>35.994999999999997</v>
      </c>
      <c r="M2" s="26" t="s">
        <v>66</v>
      </c>
    </row>
    <row r="3" spans="1:13" ht="15" customHeight="1" x14ac:dyDescent="0.2">
      <c r="A3" s="26" t="s">
        <v>67</v>
      </c>
      <c r="B3" s="26" t="str">
        <f>IF(A3="","",A3&amp;"-"&amp;TEXT(COUNTIF($A$2:A3,A3),"000"))</f>
        <v>B-001</v>
      </c>
      <c r="C3" s="27">
        <v>46241</v>
      </c>
      <c r="D3" s="27">
        <v>46273</v>
      </c>
      <c r="E3" s="28">
        <v>100</v>
      </c>
      <c r="F3" s="28">
        <f>SUMIF('Registro de trabajos'!F:F,B3,'Registro de trabajos'!G:G)</f>
        <v>5.1149999999999993</v>
      </c>
      <c r="G3" s="28">
        <f>MAX(0,E3-F3)</f>
        <v>94.885000000000005</v>
      </c>
      <c r="H3" s="26">
        <v>0</v>
      </c>
      <c r="I3" s="26">
        <v>0</v>
      </c>
      <c r="J3" s="26">
        <v>0</v>
      </c>
      <c r="K3" s="26">
        <f>COUNTIF('Registro de trabajos'!F:F,B3)</f>
        <v>6</v>
      </c>
      <c r="L3" s="28">
        <f>F3</f>
        <v>5.1149999999999993</v>
      </c>
      <c r="M3" s="26" t="s">
        <v>68</v>
      </c>
    </row>
    <row r="4" spans="1:13" ht="15" customHeight="1" x14ac:dyDescent="0.2">
      <c r="A4" s="26" t="s">
        <v>67</v>
      </c>
      <c r="B4" s="26" t="str">
        <f>IF(A4="","",A4&amp;"-"&amp;TEXT(COUNTIF($A$2:A4,A4),"000"))</f>
        <v>B-002</v>
      </c>
      <c r="C4" s="27">
        <v>46273</v>
      </c>
      <c r="D4" s="27"/>
      <c r="E4" s="28">
        <f>Configuración!B3</f>
        <v>100</v>
      </c>
      <c r="F4" s="28">
        <f>SUMIF('Registro de trabajos'!F:F,B4,'Registro de trabajos'!G:G)</f>
        <v>30.879999999999992</v>
      </c>
      <c r="G4" s="28">
        <f>MAX(0,E4-F4)</f>
        <v>69.12</v>
      </c>
      <c r="H4" s="26">
        <v>0</v>
      </c>
      <c r="I4" s="26">
        <v>0</v>
      </c>
      <c r="J4" s="26">
        <v>0</v>
      </c>
      <c r="K4" s="26">
        <f>COUNTIF('Registro de trabajos'!F:F,B4)</f>
        <v>55</v>
      </c>
      <c r="L4" s="28">
        <f>F4</f>
        <v>30.879999999999992</v>
      </c>
      <c r="M4" s="26" t="s">
        <v>66</v>
      </c>
    </row>
    <row r="5" spans="1:13" x14ac:dyDescent="0.25">
      <c r="A5" t="str">
        <f>IF('Control de rollos'!D2&lt;&gt;"","A","")</f>
        <v/>
      </c>
      <c r="B5" t="str">
        <f>IF(A5="","",A5&amp;"-"&amp;TEXT(COUNTIF($A$2:A5,A5),"000"))</f>
        <v/>
      </c>
      <c r="C5" t="str">
        <f>IF(A5="","",D2)</f>
        <v/>
      </c>
      <c r="E5" t="str">
        <f>IF(A5="","",Configuración!B3)</f>
        <v/>
      </c>
      <c r="F5" t="str">
        <f>IF(A5="","",SUMIF('Registro de trabajos'!D:D,B5,'Registro de trabajos'!E:E))</f>
        <v/>
      </c>
      <c r="G5" t="str">
        <f t="shared" ref="G5:G36" si="0">IF(A5="","",MAX(0,E5-F5))</f>
        <v/>
      </c>
      <c r="H5" t="str">
        <f>IF(A5="","",SUMIF('Registro de trabajos'!D:D,B5,'Registro de trabajos'!H:H))</f>
        <v/>
      </c>
      <c r="I5" t="str">
        <f>IF(A5="","",Configuración!B4)</f>
        <v/>
      </c>
      <c r="J5" t="str">
        <f t="shared" ref="J5:J36" si="1">IF(A5="","",H5-I5)</f>
        <v/>
      </c>
      <c r="K5" t="str">
        <f>IF(A5="","",COUNTIF('Registro de trabajos'!D:D,B5))</f>
        <v/>
      </c>
      <c r="L5" t="str">
        <f>IF(A5="","",SUMIF('Registro de trabajos'!D:D,B5,'Registro de trabajos'!G:G))</f>
        <v/>
      </c>
      <c r="M5" t="str">
        <f t="shared" ref="M5:M36" si="2">IF(A5="","",IF(D5="","EN USO","FINALIZADO"))</f>
        <v/>
      </c>
    </row>
    <row r="6" spans="1:13" x14ac:dyDescent="0.25">
      <c r="A6" t="str">
        <f>IF('Control de rollos'!D4&lt;&gt;"","B","")</f>
        <v/>
      </c>
      <c r="B6" t="str">
        <f>IF(A6="","",A6&amp;"-"&amp;TEXT(COUNTIF($A$2:A6,A6),"000"))</f>
        <v/>
      </c>
      <c r="C6" t="str">
        <f>IF(A6="","",D4)</f>
        <v/>
      </c>
      <c r="E6" t="str">
        <f>IF(A6="","",Configuración!B3)</f>
        <v/>
      </c>
      <c r="F6" t="str">
        <f>IF(A6="","",SUMIF('Registro de trabajos'!F:F,B6,'Registro de trabajos'!G:G))</f>
        <v/>
      </c>
      <c r="G6" t="str">
        <f t="shared" si="0"/>
        <v/>
      </c>
      <c r="H6" t="str">
        <f>IF(A6="","",0)</f>
        <v/>
      </c>
      <c r="I6" t="str">
        <f>IF(A6="","",0)</f>
        <v/>
      </c>
      <c r="J6" t="str">
        <f t="shared" si="1"/>
        <v/>
      </c>
      <c r="K6" t="str">
        <f>IF(A6="","",COUNTIF('Registro de trabajos'!F:F,B6))</f>
        <v/>
      </c>
      <c r="L6" t="str">
        <f>IF(A6="","",F6)</f>
        <v/>
      </c>
      <c r="M6" t="str">
        <f t="shared" si="2"/>
        <v/>
      </c>
    </row>
    <row r="7" spans="1:13" x14ac:dyDescent="0.25">
      <c r="A7" t="str">
        <f>IF('Control de rollos'!D4&lt;&gt;"","A","")</f>
        <v/>
      </c>
      <c r="B7" t="str">
        <f>IF(A7="","",A7&amp;"-"&amp;TEXT(COUNTIF($A$2:A7,A7),"000"))</f>
        <v/>
      </c>
      <c r="C7" t="str">
        <f>IF(A7="","",D4)</f>
        <v/>
      </c>
      <c r="E7" t="str">
        <f>IF(A7="","",Configuración!B3)</f>
        <v/>
      </c>
      <c r="F7" t="str">
        <f>IF(A7="","",SUMIF('Registro de trabajos'!D:D,B7,'Registro de trabajos'!E:E))</f>
        <v/>
      </c>
      <c r="G7" t="str">
        <f t="shared" si="0"/>
        <v/>
      </c>
      <c r="H7" t="str">
        <f>IF(A7="","",SUMIF('Registro de trabajos'!D:D,B7,'Registro de trabajos'!H:H))</f>
        <v/>
      </c>
      <c r="I7" t="str">
        <f>IF(A7="","",Configuración!B4)</f>
        <v/>
      </c>
      <c r="J7" t="str">
        <f t="shared" si="1"/>
        <v/>
      </c>
      <c r="K7" t="str">
        <f>IF(A7="","",COUNTIF('Registro de trabajos'!D:D,B7))</f>
        <v/>
      </c>
      <c r="L7" t="str">
        <f>IF(A7="","",SUMIF('Registro de trabajos'!D:D,B7,'Registro de trabajos'!G:G))</f>
        <v/>
      </c>
      <c r="M7" t="str">
        <f t="shared" si="2"/>
        <v/>
      </c>
    </row>
    <row r="8" spans="1:13" x14ac:dyDescent="0.25">
      <c r="A8" t="str">
        <f>IF('Control de rollos'!D6&lt;&gt;"","B","")</f>
        <v/>
      </c>
      <c r="B8" t="str">
        <f>IF(A8="","",A8&amp;"-"&amp;TEXT(COUNTIF($A$2:A8,A8),"000"))</f>
        <v/>
      </c>
      <c r="C8" t="str">
        <f>IF(A8="","",D6)</f>
        <v/>
      </c>
      <c r="E8" t="str">
        <f>IF(A8="","",Configuración!B3)</f>
        <v/>
      </c>
      <c r="F8" t="str">
        <f>IF(A8="","",SUMIF('Registro de trabajos'!F:F,B8,'Registro de trabajos'!G:G))</f>
        <v/>
      </c>
      <c r="G8" t="str">
        <f t="shared" si="0"/>
        <v/>
      </c>
      <c r="H8" t="str">
        <f>IF(A8="","",0)</f>
        <v/>
      </c>
      <c r="I8" t="str">
        <f>IF(A8="","",0)</f>
        <v/>
      </c>
      <c r="J8" t="str">
        <f t="shared" si="1"/>
        <v/>
      </c>
      <c r="K8" t="str">
        <f>IF(A8="","",COUNTIF('Registro de trabajos'!F:F,B8))</f>
        <v/>
      </c>
      <c r="L8" t="str">
        <f>IF(A8="","",F8)</f>
        <v/>
      </c>
      <c r="M8" t="str">
        <f t="shared" si="2"/>
        <v/>
      </c>
    </row>
    <row r="9" spans="1:13" x14ac:dyDescent="0.25">
      <c r="A9" t="str">
        <f>IF('Control de rollos'!D6&lt;&gt;"","A","")</f>
        <v/>
      </c>
      <c r="B9" t="str">
        <f>IF(A9="","",A9&amp;"-"&amp;TEXT(COUNTIF($A$2:A9,A9),"000"))</f>
        <v/>
      </c>
      <c r="C9" t="str">
        <f>IF(A9="","",D6)</f>
        <v/>
      </c>
      <c r="E9" t="str">
        <f>IF(A9="","",Configuración!B3)</f>
        <v/>
      </c>
      <c r="F9" t="str">
        <f>IF(A9="","",SUMIF('Registro de trabajos'!D:D,B9,'Registro de trabajos'!E:E))</f>
        <v/>
      </c>
      <c r="G9" t="str">
        <f t="shared" si="0"/>
        <v/>
      </c>
      <c r="H9" t="str">
        <f>IF(A9="","",SUMIF('Registro de trabajos'!D:D,B9,'Registro de trabajos'!H:H))</f>
        <v/>
      </c>
      <c r="I9" t="str">
        <f>IF(A9="","",Configuración!B4)</f>
        <v/>
      </c>
      <c r="J9" t="str">
        <f t="shared" si="1"/>
        <v/>
      </c>
      <c r="K9" t="str">
        <f>IF(A9="","",COUNTIF('Registro de trabajos'!D:D,B9))</f>
        <v/>
      </c>
      <c r="L9" t="str">
        <f>IF(A9="","",SUMIF('Registro de trabajos'!D:D,B9,'Registro de trabajos'!G:G))</f>
        <v/>
      </c>
      <c r="M9" t="str">
        <f t="shared" si="2"/>
        <v/>
      </c>
    </row>
    <row r="10" spans="1:13" x14ac:dyDescent="0.25">
      <c r="A10" t="str">
        <f>IF('Control de rollos'!D8&lt;&gt;"","B","")</f>
        <v/>
      </c>
      <c r="B10" t="str">
        <f>IF(A10="","",A10&amp;"-"&amp;TEXT(COUNTIF($A$2:A10,A10),"000"))</f>
        <v/>
      </c>
      <c r="C10" t="str">
        <f>IF(A10="","",D8)</f>
        <v/>
      </c>
      <c r="E10" t="str">
        <f>IF(A10="","",Configuración!B3)</f>
        <v/>
      </c>
      <c r="F10" t="str">
        <f>IF(A10="","",SUMIF('Registro de trabajos'!F:F,B10,'Registro de trabajos'!G:G))</f>
        <v/>
      </c>
      <c r="G10" t="str">
        <f t="shared" si="0"/>
        <v/>
      </c>
      <c r="H10" t="str">
        <f>IF(A10="","",0)</f>
        <v/>
      </c>
      <c r="I10" t="str">
        <f>IF(A10="","",0)</f>
        <v/>
      </c>
      <c r="J10" t="str">
        <f t="shared" si="1"/>
        <v/>
      </c>
      <c r="K10" t="str">
        <f>IF(A10="","",COUNTIF('Registro de trabajos'!F:F,B10))</f>
        <v/>
      </c>
      <c r="L10" t="str">
        <f>IF(A10="","",F10)</f>
        <v/>
      </c>
      <c r="M10" t="str">
        <f t="shared" si="2"/>
        <v/>
      </c>
    </row>
    <row r="11" spans="1:13" x14ac:dyDescent="0.25">
      <c r="A11" t="str">
        <f>IF('Control de rollos'!D8&lt;&gt;"","A","")</f>
        <v/>
      </c>
      <c r="B11" t="str">
        <f>IF(A11="","",A11&amp;"-"&amp;TEXT(COUNTIF($A$2:A11,A11),"000"))</f>
        <v/>
      </c>
      <c r="C11" t="str">
        <f>IF(A11="","",D8)</f>
        <v/>
      </c>
      <c r="E11" t="str">
        <f>IF(A11="","",Configuración!B3)</f>
        <v/>
      </c>
      <c r="F11" t="str">
        <f>IF(A11="","",SUMIF('Registro de trabajos'!D:D,B11,'Registro de trabajos'!E:E))</f>
        <v/>
      </c>
      <c r="G11" t="str">
        <f t="shared" si="0"/>
        <v/>
      </c>
      <c r="H11" t="str">
        <f>IF(A11="","",SUMIF('Registro de trabajos'!D:D,B11,'Registro de trabajos'!H:H))</f>
        <v/>
      </c>
      <c r="I11" t="str">
        <f>IF(A11="","",Configuración!B4)</f>
        <v/>
      </c>
      <c r="J11" t="str">
        <f t="shared" si="1"/>
        <v/>
      </c>
      <c r="K11" t="str">
        <f>IF(A11="","",COUNTIF('Registro de trabajos'!D:D,B11))</f>
        <v/>
      </c>
      <c r="L11" t="str">
        <f>IF(A11="","",SUMIF('Registro de trabajos'!D:D,B11,'Registro de trabajos'!G:G))</f>
        <v/>
      </c>
      <c r="M11" t="str">
        <f t="shared" si="2"/>
        <v/>
      </c>
    </row>
    <row r="12" spans="1:13" x14ac:dyDescent="0.25">
      <c r="A12" t="str">
        <f>IF('Control de rollos'!D10&lt;&gt;"","B","")</f>
        <v/>
      </c>
      <c r="B12" t="str">
        <f>IF(A12="","",A12&amp;"-"&amp;TEXT(COUNTIF($A$2:A12,A12),"000"))</f>
        <v/>
      </c>
      <c r="C12" t="str">
        <f>IF(A12="","",D10)</f>
        <v/>
      </c>
      <c r="E12" t="str">
        <f>IF(A12="","",Configuración!B3)</f>
        <v/>
      </c>
      <c r="F12" t="str">
        <f>IF(A12="","",SUMIF('Registro de trabajos'!F:F,B12,'Registro de trabajos'!G:G))</f>
        <v/>
      </c>
      <c r="G12" t="str">
        <f t="shared" si="0"/>
        <v/>
      </c>
      <c r="H12" t="str">
        <f>IF(A12="","",0)</f>
        <v/>
      </c>
      <c r="I12" t="str">
        <f>IF(A12="","",0)</f>
        <v/>
      </c>
      <c r="J12" t="str">
        <f t="shared" si="1"/>
        <v/>
      </c>
      <c r="K12" t="str">
        <f>IF(A12="","",COUNTIF('Registro de trabajos'!F:F,B12))</f>
        <v/>
      </c>
      <c r="L12" t="str">
        <f>IF(A12="","",F12)</f>
        <v/>
      </c>
      <c r="M12" t="str">
        <f t="shared" si="2"/>
        <v/>
      </c>
    </row>
    <row r="13" spans="1:13" x14ac:dyDescent="0.25">
      <c r="A13" t="str">
        <f>IF('Control de rollos'!D10&lt;&gt;"","A","")</f>
        <v/>
      </c>
      <c r="B13" t="str">
        <f>IF(A13="","",A13&amp;"-"&amp;TEXT(COUNTIF($A$2:A13,A13),"000"))</f>
        <v/>
      </c>
      <c r="C13" t="str">
        <f>IF(A13="","",D10)</f>
        <v/>
      </c>
      <c r="E13" t="str">
        <f>IF(A13="","",Configuración!B3)</f>
        <v/>
      </c>
      <c r="F13" t="str">
        <f>IF(A13="","",SUMIF('Registro de trabajos'!D:D,B13,'Registro de trabajos'!E:E))</f>
        <v/>
      </c>
      <c r="G13" t="str">
        <f t="shared" si="0"/>
        <v/>
      </c>
      <c r="H13" t="str">
        <f>IF(A13="","",SUMIF('Registro de trabajos'!D:D,B13,'Registro de trabajos'!H:H))</f>
        <v/>
      </c>
      <c r="I13" t="str">
        <f>IF(A13="","",Configuración!B4)</f>
        <v/>
      </c>
      <c r="J13" t="str">
        <f t="shared" si="1"/>
        <v/>
      </c>
      <c r="K13" t="str">
        <f>IF(A13="","",COUNTIF('Registro de trabajos'!D:D,B13))</f>
        <v/>
      </c>
      <c r="L13" t="str">
        <f>IF(A13="","",SUMIF('Registro de trabajos'!D:D,B13,'Registro de trabajos'!G:G))</f>
        <v/>
      </c>
      <c r="M13" t="str">
        <f t="shared" si="2"/>
        <v/>
      </c>
    </row>
    <row r="14" spans="1:13" x14ac:dyDescent="0.25">
      <c r="A14" t="str">
        <f>IF('Control de rollos'!D12&lt;&gt;"","B","")</f>
        <v/>
      </c>
      <c r="B14" t="str">
        <f>IF(A14="","",A14&amp;"-"&amp;TEXT(COUNTIF($A$2:A14,A14),"000"))</f>
        <v/>
      </c>
      <c r="C14" t="str">
        <f>IF(A14="","",D12)</f>
        <v/>
      </c>
      <c r="E14" t="str">
        <f>IF(A14="","",Configuración!B3)</f>
        <v/>
      </c>
      <c r="F14" t="str">
        <f>IF(A14="","",SUMIF('Registro de trabajos'!F:F,B14,'Registro de trabajos'!G:G))</f>
        <v/>
      </c>
      <c r="G14" t="str">
        <f t="shared" si="0"/>
        <v/>
      </c>
      <c r="H14" t="str">
        <f>IF(A14="","",0)</f>
        <v/>
      </c>
      <c r="I14" t="str">
        <f>IF(A14="","",0)</f>
        <v/>
      </c>
      <c r="J14" t="str">
        <f t="shared" si="1"/>
        <v/>
      </c>
      <c r="K14" t="str">
        <f>IF(A14="","",COUNTIF('Registro de trabajos'!F:F,B14))</f>
        <v/>
      </c>
      <c r="L14" t="str">
        <f>IF(A14="","",F14)</f>
        <v/>
      </c>
      <c r="M14" t="str">
        <f t="shared" si="2"/>
        <v/>
      </c>
    </row>
    <row r="15" spans="1:13" x14ac:dyDescent="0.25">
      <c r="A15" t="str">
        <f>IF('Control de rollos'!D12&lt;&gt;"","A","")</f>
        <v/>
      </c>
      <c r="B15" t="str">
        <f>IF(A15="","",A15&amp;"-"&amp;TEXT(COUNTIF($A$2:A15,A15),"000"))</f>
        <v/>
      </c>
      <c r="C15" t="str">
        <f>IF(A15="","",D12)</f>
        <v/>
      </c>
      <c r="E15" t="str">
        <f>IF(A15="","",Configuración!B3)</f>
        <v/>
      </c>
      <c r="F15" t="str">
        <f>IF(A15="","",SUMIF('Registro de trabajos'!D:D,B15,'Registro de trabajos'!E:E))</f>
        <v/>
      </c>
      <c r="G15" t="str">
        <f t="shared" si="0"/>
        <v/>
      </c>
      <c r="H15" t="str">
        <f>IF(A15="","",SUMIF('Registro de trabajos'!D:D,B15,'Registro de trabajos'!H:H))</f>
        <v/>
      </c>
      <c r="I15" t="str">
        <f>IF(A15="","",Configuración!B4)</f>
        <v/>
      </c>
      <c r="J15" t="str">
        <f t="shared" si="1"/>
        <v/>
      </c>
      <c r="K15" t="str">
        <f>IF(A15="","",COUNTIF('Registro de trabajos'!D:D,B15))</f>
        <v/>
      </c>
      <c r="L15" t="str">
        <f>IF(A15="","",SUMIF('Registro de trabajos'!D:D,B15,'Registro de trabajos'!G:G))</f>
        <v/>
      </c>
      <c r="M15" t="str">
        <f t="shared" si="2"/>
        <v/>
      </c>
    </row>
    <row r="16" spans="1:13" x14ac:dyDescent="0.25">
      <c r="A16" t="str">
        <f>IF('Control de rollos'!D14&lt;&gt;"","B","")</f>
        <v/>
      </c>
      <c r="B16" t="str">
        <f>IF(A16="","",A16&amp;"-"&amp;TEXT(COUNTIF($A$2:A16,A16),"000"))</f>
        <v/>
      </c>
      <c r="C16" t="str">
        <f>IF(A16="","",D14)</f>
        <v/>
      </c>
      <c r="E16" t="str">
        <f>IF(A16="","",Configuración!B3)</f>
        <v/>
      </c>
      <c r="F16" t="str">
        <f>IF(A16="","",SUMIF('Registro de trabajos'!F:F,B16,'Registro de trabajos'!G:G))</f>
        <v/>
      </c>
      <c r="G16" t="str">
        <f t="shared" si="0"/>
        <v/>
      </c>
      <c r="H16" t="str">
        <f>IF(A16="","",0)</f>
        <v/>
      </c>
      <c r="I16" t="str">
        <f>IF(A16="","",0)</f>
        <v/>
      </c>
      <c r="J16" t="str">
        <f t="shared" si="1"/>
        <v/>
      </c>
      <c r="K16" t="str">
        <f>IF(A16="","",COUNTIF('Registro de trabajos'!F:F,B16))</f>
        <v/>
      </c>
      <c r="L16" t="str">
        <f>IF(A16="","",F16)</f>
        <v/>
      </c>
      <c r="M16" t="str">
        <f t="shared" si="2"/>
        <v/>
      </c>
    </row>
    <row r="17" spans="1:13" x14ac:dyDescent="0.25">
      <c r="A17" t="str">
        <f>IF('Control de rollos'!D14&lt;&gt;"","A","")</f>
        <v/>
      </c>
      <c r="B17" t="str">
        <f>IF(A17="","",A17&amp;"-"&amp;TEXT(COUNTIF($A$2:A17,A17),"000"))</f>
        <v/>
      </c>
      <c r="C17" t="str">
        <f>IF(A17="","",D14)</f>
        <v/>
      </c>
      <c r="E17" t="str">
        <f>IF(A17="","",Configuración!B3)</f>
        <v/>
      </c>
      <c r="F17" t="str">
        <f>IF(A17="","",SUMIF('Registro de trabajos'!D:D,B17,'Registro de trabajos'!E:E))</f>
        <v/>
      </c>
      <c r="G17" t="str">
        <f t="shared" si="0"/>
        <v/>
      </c>
      <c r="H17" t="str">
        <f>IF(A17="","",SUMIF('Registro de trabajos'!D:D,B17,'Registro de trabajos'!H:H))</f>
        <v/>
      </c>
      <c r="I17" t="str">
        <f>IF(A17="","",Configuración!B4)</f>
        <v/>
      </c>
      <c r="J17" t="str">
        <f t="shared" si="1"/>
        <v/>
      </c>
      <c r="K17" t="str">
        <f>IF(A17="","",COUNTIF('Registro de trabajos'!D:D,B17))</f>
        <v/>
      </c>
      <c r="L17" t="str">
        <f>IF(A17="","",SUMIF('Registro de trabajos'!D:D,B17,'Registro de trabajos'!G:G))</f>
        <v/>
      </c>
      <c r="M17" t="str">
        <f t="shared" si="2"/>
        <v/>
      </c>
    </row>
    <row r="18" spans="1:13" x14ac:dyDescent="0.25">
      <c r="A18" t="str">
        <f>IF('Control de rollos'!D16&lt;&gt;"","B","")</f>
        <v/>
      </c>
      <c r="B18" t="str">
        <f>IF(A18="","",A18&amp;"-"&amp;TEXT(COUNTIF($A$2:A18,A18),"000"))</f>
        <v/>
      </c>
      <c r="C18" t="str">
        <f>IF(A18="","",D16)</f>
        <v/>
      </c>
      <c r="E18" t="str">
        <f>IF(A18="","",Configuración!B3)</f>
        <v/>
      </c>
      <c r="F18" t="str">
        <f>IF(A18="","",SUMIF('Registro de trabajos'!F:F,B18,'Registro de trabajos'!G:G))</f>
        <v/>
      </c>
      <c r="G18" t="str">
        <f t="shared" si="0"/>
        <v/>
      </c>
      <c r="H18" t="str">
        <f>IF(A18="","",0)</f>
        <v/>
      </c>
      <c r="I18" t="str">
        <f>IF(A18="","",0)</f>
        <v/>
      </c>
      <c r="J18" t="str">
        <f t="shared" si="1"/>
        <v/>
      </c>
      <c r="K18" t="str">
        <f>IF(A18="","",COUNTIF('Registro de trabajos'!F:F,B18))</f>
        <v/>
      </c>
      <c r="L18" t="str">
        <f>IF(A18="","",F18)</f>
        <v/>
      </c>
      <c r="M18" t="str">
        <f t="shared" si="2"/>
        <v/>
      </c>
    </row>
    <row r="19" spans="1:13" x14ac:dyDescent="0.25">
      <c r="A19" t="str">
        <f>IF('Control de rollos'!D16&lt;&gt;"","A","")</f>
        <v/>
      </c>
      <c r="B19" t="str">
        <f>IF(A19="","",A19&amp;"-"&amp;TEXT(COUNTIF($A$2:A19,A19),"000"))</f>
        <v/>
      </c>
      <c r="C19" t="str">
        <f>IF(A19="","",D16)</f>
        <v/>
      </c>
      <c r="E19" t="str">
        <f>IF(A19="","",Configuración!B3)</f>
        <v/>
      </c>
      <c r="F19" t="str">
        <f>IF(A19="","",SUMIF('Registro de trabajos'!D:D,B19,'Registro de trabajos'!E:E))</f>
        <v/>
      </c>
      <c r="G19" t="str">
        <f t="shared" si="0"/>
        <v/>
      </c>
      <c r="H19" t="str">
        <f>IF(A19="","",SUMIF('Registro de trabajos'!D:D,B19,'Registro de trabajos'!H:H))</f>
        <v/>
      </c>
      <c r="I19" t="str">
        <f>IF(A19="","",Configuración!B4)</f>
        <v/>
      </c>
      <c r="J19" t="str">
        <f t="shared" si="1"/>
        <v/>
      </c>
      <c r="K19" t="str">
        <f>IF(A19="","",COUNTIF('Registro de trabajos'!D:D,B19))</f>
        <v/>
      </c>
      <c r="L19" t="str">
        <f>IF(A19="","",SUMIF('Registro de trabajos'!D:D,B19,'Registro de trabajos'!G:G))</f>
        <v/>
      </c>
      <c r="M19" t="str">
        <f t="shared" si="2"/>
        <v/>
      </c>
    </row>
    <row r="20" spans="1:13" x14ac:dyDescent="0.25">
      <c r="A20" t="str">
        <f>IF('Control de rollos'!D18&lt;&gt;"","B","")</f>
        <v/>
      </c>
      <c r="B20" t="str">
        <f>IF(A20="","",A20&amp;"-"&amp;TEXT(COUNTIF($A$2:A20,A20),"000"))</f>
        <v/>
      </c>
      <c r="C20" t="str">
        <f>IF(A20="","",D18)</f>
        <v/>
      </c>
      <c r="E20" t="str">
        <f>IF(A20="","",Configuración!B3)</f>
        <v/>
      </c>
      <c r="F20" t="str">
        <f>IF(A20="","",SUMIF('Registro de trabajos'!F:F,B20,'Registro de trabajos'!G:G))</f>
        <v/>
      </c>
      <c r="G20" t="str">
        <f t="shared" si="0"/>
        <v/>
      </c>
      <c r="H20" t="str">
        <f>IF(A20="","",0)</f>
        <v/>
      </c>
      <c r="I20" t="str">
        <f>IF(A20="","",0)</f>
        <v/>
      </c>
      <c r="J20" t="str">
        <f t="shared" si="1"/>
        <v/>
      </c>
      <c r="K20" t="str">
        <f>IF(A20="","",COUNTIF('Registro de trabajos'!F:F,B20))</f>
        <v/>
      </c>
      <c r="L20" t="str">
        <f>IF(A20="","",F20)</f>
        <v/>
      </c>
      <c r="M20" t="str">
        <f t="shared" si="2"/>
        <v/>
      </c>
    </row>
    <row r="21" spans="1:13" x14ac:dyDescent="0.25">
      <c r="A21" t="str">
        <f>IF('Control de rollos'!D18&lt;&gt;"","A","")</f>
        <v/>
      </c>
      <c r="B21" t="str">
        <f>IF(A21="","",A21&amp;"-"&amp;TEXT(COUNTIF($A$2:A21,A21),"000"))</f>
        <v/>
      </c>
      <c r="C21" t="str">
        <f>IF(A21="","",D18)</f>
        <v/>
      </c>
      <c r="E21" t="str">
        <f>IF(A21="","",Configuración!B3)</f>
        <v/>
      </c>
      <c r="F21" t="str">
        <f>IF(A21="","",SUMIF('Registro de trabajos'!D:D,B21,'Registro de trabajos'!E:E))</f>
        <v/>
      </c>
      <c r="G21" t="str">
        <f t="shared" si="0"/>
        <v/>
      </c>
      <c r="H21" t="str">
        <f>IF(A21="","",SUMIF('Registro de trabajos'!D:D,B21,'Registro de trabajos'!H:H))</f>
        <v/>
      </c>
      <c r="I21" t="str">
        <f>IF(A21="","",Configuración!B4)</f>
        <v/>
      </c>
      <c r="J21" t="str">
        <f t="shared" si="1"/>
        <v/>
      </c>
      <c r="K21" t="str">
        <f>IF(A21="","",COUNTIF('Registro de trabajos'!D:D,B21))</f>
        <v/>
      </c>
      <c r="L21" t="str">
        <f>IF(A21="","",SUMIF('Registro de trabajos'!D:D,B21,'Registro de trabajos'!G:G))</f>
        <v/>
      </c>
      <c r="M21" t="str">
        <f t="shared" si="2"/>
        <v/>
      </c>
    </row>
    <row r="22" spans="1:13" x14ac:dyDescent="0.25">
      <c r="A22" t="str">
        <f>IF('Control de rollos'!D20&lt;&gt;"","B","")</f>
        <v/>
      </c>
      <c r="B22" t="str">
        <f>IF(A22="","",A22&amp;"-"&amp;TEXT(COUNTIF($A$2:A22,A22),"000"))</f>
        <v/>
      </c>
      <c r="C22" t="str">
        <f>IF(A22="","",D20)</f>
        <v/>
      </c>
      <c r="E22" t="str">
        <f>IF(A22="","",Configuración!B3)</f>
        <v/>
      </c>
      <c r="F22" t="str">
        <f>IF(A22="","",SUMIF('Registro de trabajos'!F:F,B22,'Registro de trabajos'!G:G))</f>
        <v/>
      </c>
      <c r="G22" t="str">
        <f t="shared" si="0"/>
        <v/>
      </c>
      <c r="H22" t="str">
        <f>IF(A22="","",0)</f>
        <v/>
      </c>
      <c r="I22" t="str">
        <f>IF(A22="","",0)</f>
        <v/>
      </c>
      <c r="J22" t="str">
        <f t="shared" si="1"/>
        <v/>
      </c>
      <c r="K22" t="str">
        <f>IF(A22="","",COUNTIF('Registro de trabajos'!F:F,B22))</f>
        <v/>
      </c>
      <c r="L22" t="str">
        <f>IF(A22="","",F22)</f>
        <v/>
      </c>
      <c r="M22" t="str">
        <f t="shared" si="2"/>
        <v/>
      </c>
    </row>
    <row r="23" spans="1:13" x14ac:dyDescent="0.25">
      <c r="A23" t="str">
        <f>IF('Control de rollos'!D20&lt;&gt;"","A","")</f>
        <v/>
      </c>
      <c r="B23" t="str">
        <f>IF(A23="","",A23&amp;"-"&amp;TEXT(COUNTIF($A$2:A23,A23),"000"))</f>
        <v/>
      </c>
      <c r="C23" t="str">
        <f>IF(A23="","",D20)</f>
        <v/>
      </c>
      <c r="E23" t="str">
        <f>IF(A23="","",Configuración!B3)</f>
        <v/>
      </c>
      <c r="F23" t="str">
        <f>IF(A23="","",SUMIF('Registro de trabajos'!D:D,B23,'Registro de trabajos'!E:E))</f>
        <v/>
      </c>
      <c r="G23" t="str">
        <f t="shared" si="0"/>
        <v/>
      </c>
      <c r="H23" t="str">
        <f>IF(A23="","",SUMIF('Registro de trabajos'!D:D,B23,'Registro de trabajos'!H:H))</f>
        <v/>
      </c>
      <c r="I23" t="str">
        <f>IF(A23="","",Configuración!B4)</f>
        <v/>
      </c>
      <c r="J23" t="str">
        <f t="shared" si="1"/>
        <v/>
      </c>
      <c r="K23" t="str">
        <f>IF(A23="","",COUNTIF('Registro de trabajos'!D:D,B23))</f>
        <v/>
      </c>
      <c r="L23" t="str">
        <f>IF(A23="","",SUMIF('Registro de trabajos'!D:D,B23,'Registro de trabajos'!G:G))</f>
        <v/>
      </c>
      <c r="M23" t="str">
        <f t="shared" si="2"/>
        <v/>
      </c>
    </row>
    <row r="24" spans="1:13" x14ac:dyDescent="0.25">
      <c r="A24" t="str">
        <f>IF('Control de rollos'!D22&lt;&gt;"","B","")</f>
        <v/>
      </c>
      <c r="B24" t="str">
        <f>IF(A24="","",A24&amp;"-"&amp;TEXT(COUNTIF($A$2:A24,A24),"000"))</f>
        <v/>
      </c>
      <c r="C24" t="str">
        <f>IF(A24="","",D22)</f>
        <v/>
      </c>
      <c r="E24" t="str">
        <f>IF(A24="","",Configuración!B3)</f>
        <v/>
      </c>
      <c r="F24" t="str">
        <f>IF(A24="","",SUMIF('Registro de trabajos'!F:F,B24,'Registro de trabajos'!G:G))</f>
        <v/>
      </c>
      <c r="G24" t="str">
        <f t="shared" si="0"/>
        <v/>
      </c>
      <c r="H24" t="str">
        <f>IF(A24="","",0)</f>
        <v/>
      </c>
      <c r="I24" t="str">
        <f>IF(A24="","",0)</f>
        <v/>
      </c>
      <c r="J24" t="str">
        <f t="shared" si="1"/>
        <v/>
      </c>
      <c r="K24" t="str">
        <f>IF(A24="","",COUNTIF('Registro de trabajos'!F:F,B24))</f>
        <v/>
      </c>
      <c r="L24" t="str">
        <f>IF(A24="","",F24)</f>
        <v/>
      </c>
      <c r="M24" t="str">
        <f t="shared" si="2"/>
        <v/>
      </c>
    </row>
    <row r="25" spans="1:13" x14ac:dyDescent="0.25">
      <c r="A25" t="str">
        <f>IF('Control de rollos'!D22&lt;&gt;"","A","")</f>
        <v/>
      </c>
      <c r="B25" t="str">
        <f>IF(A25="","",A25&amp;"-"&amp;TEXT(COUNTIF($A$2:A25,A25),"000"))</f>
        <v/>
      </c>
      <c r="C25" t="str">
        <f>IF(A25="","",D22)</f>
        <v/>
      </c>
      <c r="E25" t="str">
        <f>IF(A25="","",Configuración!B3)</f>
        <v/>
      </c>
      <c r="F25" t="str">
        <f>IF(A25="","",SUMIF('Registro de trabajos'!D:D,B25,'Registro de trabajos'!E:E))</f>
        <v/>
      </c>
      <c r="G25" t="str">
        <f t="shared" si="0"/>
        <v/>
      </c>
      <c r="H25" t="str">
        <f>IF(A25="","",SUMIF('Registro de trabajos'!D:D,B25,'Registro de trabajos'!H:H))</f>
        <v/>
      </c>
      <c r="I25" t="str">
        <f>IF(A25="","",Configuración!B4)</f>
        <v/>
      </c>
      <c r="J25" t="str">
        <f t="shared" si="1"/>
        <v/>
      </c>
      <c r="K25" t="str">
        <f>IF(A25="","",COUNTIF('Registro de trabajos'!D:D,B25))</f>
        <v/>
      </c>
      <c r="L25" t="str">
        <f>IF(A25="","",SUMIF('Registro de trabajos'!D:D,B25,'Registro de trabajos'!G:G))</f>
        <v/>
      </c>
      <c r="M25" t="str">
        <f t="shared" si="2"/>
        <v/>
      </c>
    </row>
    <row r="26" spans="1:13" x14ac:dyDescent="0.25">
      <c r="A26" t="str">
        <f>IF('Control de rollos'!D24&lt;&gt;"","B","")</f>
        <v/>
      </c>
      <c r="B26" t="str">
        <f>IF(A26="","",A26&amp;"-"&amp;TEXT(COUNTIF($A$2:A26,A26),"000"))</f>
        <v/>
      </c>
      <c r="C26" t="str">
        <f>IF(A26="","",D24)</f>
        <v/>
      </c>
      <c r="E26" t="str">
        <f>IF(A26="","",Configuración!B3)</f>
        <v/>
      </c>
      <c r="F26" t="str">
        <f>IF(A26="","",SUMIF('Registro de trabajos'!F:F,B26,'Registro de trabajos'!G:G))</f>
        <v/>
      </c>
      <c r="G26" t="str">
        <f t="shared" si="0"/>
        <v/>
      </c>
      <c r="H26" t="str">
        <f>IF(A26="","",0)</f>
        <v/>
      </c>
      <c r="I26" t="str">
        <f>IF(A26="","",0)</f>
        <v/>
      </c>
      <c r="J26" t="str">
        <f t="shared" si="1"/>
        <v/>
      </c>
      <c r="K26" t="str">
        <f>IF(A26="","",COUNTIF('Registro de trabajos'!F:F,B26))</f>
        <v/>
      </c>
      <c r="L26" t="str">
        <f>IF(A26="","",F26)</f>
        <v/>
      </c>
      <c r="M26" t="str">
        <f t="shared" si="2"/>
        <v/>
      </c>
    </row>
    <row r="27" spans="1:13" x14ac:dyDescent="0.25">
      <c r="A27" t="str">
        <f>IF('Control de rollos'!D24&lt;&gt;"","A","")</f>
        <v/>
      </c>
      <c r="B27" t="str">
        <f>IF(A27="","",A27&amp;"-"&amp;TEXT(COUNTIF($A$2:A27,A27),"000"))</f>
        <v/>
      </c>
      <c r="C27" t="str">
        <f>IF(A27="","",D24)</f>
        <v/>
      </c>
      <c r="E27" t="str">
        <f>IF(A27="","",Configuración!B3)</f>
        <v/>
      </c>
      <c r="F27" t="str">
        <f>IF(A27="","",SUMIF('Registro de trabajos'!D:D,B27,'Registro de trabajos'!E:E))</f>
        <v/>
      </c>
      <c r="G27" t="str">
        <f t="shared" si="0"/>
        <v/>
      </c>
      <c r="H27" t="str">
        <f>IF(A27="","",SUMIF('Registro de trabajos'!D:D,B27,'Registro de trabajos'!H:H))</f>
        <v/>
      </c>
      <c r="I27" t="str">
        <f>IF(A27="","",Configuración!B4)</f>
        <v/>
      </c>
      <c r="J27" t="str">
        <f t="shared" si="1"/>
        <v/>
      </c>
      <c r="K27" t="str">
        <f>IF(A27="","",COUNTIF('Registro de trabajos'!D:D,B27))</f>
        <v/>
      </c>
      <c r="L27" t="str">
        <f>IF(A27="","",SUMIF('Registro de trabajos'!D:D,B27,'Registro de trabajos'!G:G))</f>
        <v/>
      </c>
      <c r="M27" t="str">
        <f t="shared" si="2"/>
        <v/>
      </c>
    </row>
    <row r="28" spans="1:13" x14ac:dyDescent="0.25">
      <c r="A28" t="str">
        <f>IF('Control de rollos'!D26&lt;&gt;"","B","")</f>
        <v/>
      </c>
      <c r="B28" t="str">
        <f>IF(A28="","",A28&amp;"-"&amp;TEXT(COUNTIF($A$2:A28,A28),"000"))</f>
        <v/>
      </c>
      <c r="C28" t="str">
        <f>IF(A28="","",D26)</f>
        <v/>
      </c>
      <c r="E28" t="str">
        <f>IF(A28="","",Configuración!B3)</f>
        <v/>
      </c>
      <c r="F28" t="str">
        <f>IF(A28="","",SUMIF('Registro de trabajos'!F:F,B28,'Registro de trabajos'!G:G))</f>
        <v/>
      </c>
      <c r="G28" t="str">
        <f t="shared" si="0"/>
        <v/>
      </c>
      <c r="H28" t="str">
        <f>IF(A28="","",0)</f>
        <v/>
      </c>
      <c r="I28" t="str">
        <f>IF(A28="","",0)</f>
        <v/>
      </c>
      <c r="J28" t="str">
        <f t="shared" si="1"/>
        <v/>
      </c>
      <c r="K28" t="str">
        <f>IF(A28="","",COUNTIF('Registro de trabajos'!F:F,B28))</f>
        <v/>
      </c>
      <c r="L28" t="str">
        <f>IF(A28="","",F28)</f>
        <v/>
      </c>
      <c r="M28" t="str">
        <f t="shared" si="2"/>
        <v/>
      </c>
    </row>
    <row r="29" spans="1:13" x14ac:dyDescent="0.25">
      <c r="A29" t="str">
        <f>IF('Control de rollos'!D26&lt;&gt;"","A","")</f>
        <v/>
      </c>
      <c r="B29" t="str">
        <f>IF(A29="","",A29&amp;"-"&amp;TEXT(COUNTIF($A$2:A29,A29),"000"))</f>
        <v/>
      </c>
      <c r="C29" t="str">
        <f>IF(A29="","",D26)</f>
        <v/>
      </c>
      <c r="E29" t="str">
        <f>IF(A29="","",Configuración!B3)</f>
        <v/>
      </c>
      <c r="F29" t="str">
        <f>IF(A29="","",SUMIF('Registro de trabajos'!D:D,B29,'Registro de trabajos'!E:E))</f>
        <v/>
      </c>
      <c r="G29" t="str">
        <f t="shared" si="0"/>
        <v/>
      </c>
      <c r="H29" t="str">
        <f>IF(A29="","",SUMIF('Registro de trabajos'!D:D,B29,'Registro de trabajos'!H:H))</f>
        <v/>
      </c>
      <c r="I29" t="str">
        <f>IF(A29="","",Configuración!B4)</f>
        <v/>
      </c>
      <c r="J29" t="str">
        <f t="shared" si="1"/>
        <v/>
      </c>
      <c r="K29" t="str">
        <f>IF(A29="","",COUNTIF('Registro de trabajos'!D:D,B29))</f>
        <v/>
      </c>
      <c r="L29" t="str">
        <f>IF(A29="","",SUMIF('Registro de trabajos'!D:D,B29,'Registro de trabajos'!G:G))</f>
        <v/>
      </c>
      <c r="M29" t="str">
        <f t="shared" si="2"/>
        <v/>
      </c>
    </row>
    <row r="30" spans="1:13" x14ac:dyDescent="0.25">
      <c r="A30" t="str">
        <f>IF('Control de rollos'!D28&lt;&gt;"","B","")</f>
        <v/>
      </c>
      <c r="B30" t="str">
        <f>IF(A30="","",A30&amp;"-"&amp;TEXT(COUNTIF($A$2:A30,A30),"000"))</f>
        <v/>
      </c>
      <c r="C30" t="str">
        <f>IF(A30="","",D28)</f>
        <v/>
      </c>
      <c r="E30" t="str">
        <f>IF(A30="","",Configuración!B3)</f>
        <v/>
      </c>
      <c r="F30" t="str">
        <f>IF(A30="","",SUMIF('Registro de trabajos'!F:F,B30,'Registro de trabajos'!G:G))</f>
        <v/>
      </c>
      <c r="G30" t="str">
        <f t="shared" si="0"/>
        <v/>
      </c>
      <c r="H30" t="str">
        <f>IF(A30="","",0)</f>
        <v/>
      </c>
      <c r="I30" t="str">
        <f>IF(A30="","",0)</f>
        <v/>
      </c>
      <c r="J30" t="str">
        <f t="shared" si="1"/>
        <v/>
      </c>
      <c r="K30" t="str">
        <f>IF(A30="","",COUNTIF('Registro de trabajos'!F:F,B30))</f>
        <v/>
      </c>
      <c r="L30" t="str">
        <f>IF(A30="","",F30)</f>
        <v/>
      </c>
      <c r="M30" t="str">
        <f t="shared" si="2"/>
        <v/>
      </c>
    </row>
    <row r="31" spans="1:13" x14ac:dyDescent="0.25">
      <c r="A31" t="str">
        <f>IF('Control de rollos'!D28&lt;&gt;"","A","")</f>
        <v/>
      </c>
      <c r="B31" t="str">
        <f>IF(A31="","",A31&amp;"-"&amp;TEXT(COUNTIF($A$2:A31,A31),"000"))</f>
        <v/>
      </c>
      <c r="C31" t="str">
        <f>IF(A31="","",D28)</f>
        <v/>
      </c>
      <c r="E31" t="str">
        <f>IF(A31="","",Configuración!B3)</f>
        <v/>
      </c>
      <c r="F31" t="str">
        <f>IF(A31="","",SUMIF('Registro de trabajos'!D:D,B31,'Registro de trabajos'!E:E))</f>
        <v/>
      </c>
      <c r="G31" t="str">
        <f t="shared" si="0"/>
        <v/>
      </c>
      <c r="H31" t="str">
        <f>IF(A31="","",SUMIF('Registro de trabajos'!D:D,B31,'Registro de trabajos'!H:H))</f>
        <v/>
      </c>
      <c r="I31" t="str">
        <f>IF(A31="","",Configuración!B4)</f>
        <v/>
      </c>
      <c r="J31" t="str">
        <f t="shared" si="1"/>
        <v/>
      </c>
      <c r="K31" t="str">
        <f>IF(A31="","",COUNTIF('Registro de trabajos'!D:D,B31))</f>
        <v/>
      </c>
      <c r="L31" t="str">
        <f>IF(A31="","",SUMIF('Registro de trabajos'!D:D,B31,'Registro de trabajos'!G:G))</f>
        <v/>
      </c>
      <c r="M31" t="str">
        <f t="shared" si="2"/>
        <v/>
      </c>
    </row>
    <row r="32" spans="1:13" x14ac:dyDescent="0.25">
      <c r="A32" t="str">
        <f>IF('Control de rollos'!D30&lt;&gt;"","B","")</f>
        <v/>
      </c>
      <c r="B32" t="str">
        <f>IF(A32="","",A32&amp;"-"&amp;TEXT(COUNTIF($A$2:A32,A32),"000"))</f>
        <v/>
      </c>
      <c r="C32" t="str">
        <f>IF(A32="","",D30)</f>
        <v/>
      </c>
      <c r="E32" t="str">
        <f>IF(A32="","",Configuración!B3)</f>
        <v/>
      </c>
      <c r="F32" t="str">
        <f>IF(A32="","",SUMIF('Registro de trabajos'!F:F,B32,'Registro de trabajos'!G:G))</f>
        <v/>
      </c>
      <c r="G32" t="str">
        <f t="shared" si="0"/>
        <v/>
      </c>
      <c r="H32" t="str">
        <f>IF(A32="","",0)</f>
        <v/>
      </c>
      <c r="I32" t="str">
        <f>IF(A32="","",0)</f>
        <v/>
      </c>
      <c r="J32" t="str">
        <f t="shared" si="1"/>
        <v/>
      </c>
      <c r="K32" t="str">
        <f>IF(A32="","",COUNTIF('Registro de trabajos'!F:F,B32))</f>
        <v/>
      </c>
      <c r="L32" t="str">
        <f>IF(A32="","",F32)</f>
        <v/>
      </c>
      <c r="M32" t="str">
        <f t="shared" si="2"/>
        <v/>
      </c>
    </row>
    <row r="33" spans="1:13" x14ac:dyDescent="0.25">
      <c r="A33" t="str">
        <f>IF('Control de rollos'!D30&lt;&gt;"","A","")</f>
        <v/>
      </c>
      <c r="B33" t="str">
        <f>IF(A33="","",A33&amp;"-"&amp;TEXT(COUNTIF($A$2:A33,A33),"000"))</f>
        <v/>
      </c>
      <c r="C33" t="str">
        <f>IF(A33="","",D30)</f>
        <v/>
      </c>
      <c r="E33" t="str">
        <f>IF(A33="","",Configuración!B3)</f>
        <v/>
      </c>
      <c r="F33" t="str">
        <f>IF(A33="","",SUMIF('Registro de trabajos'!D:D,B33,'Registro de trabajos'!E:E))</f>
        <v/>
      </c>
      <c r="G33" t="str">
        <f t="shared" si="0"/>
        <v/>
      </c>
      <c r="H33" t="str">
        <f>IF(A33="","",SUMIF('Registro de trabajos'!D:D,B33,'Registro de trabajos'!H:H))</f>
        <v/>
      </c>
      <c r="I33" t="str">
        <f>IF(A33="","",Configuración!B4)</f>
        <v/>
      </c>
      <c r="J33" t="str">
        <f t="shared" si="1"/>
        <v/>
      </c>
      <c r="K33" t="str">
        <f>IF(A33="","",COUNTIF('Registro de trabajos'!D:D,B33))</f>
        <v/>
      </c>
      <c r="L33" t="str">
        <f>IF(A33="","",SUMIF('Registro de trabajos'!D:D,B33,'Registro de trabajos'!G:G))</f>
        <v/>
      </c>
      <c r="M33" t="str">
        <f t="shared" si="2"/>
        <v/>
      </c>
    </row>
    <row r="34" spans="1:13" x14ac:dyDescent="0.25">
      <c r="A34" t="str">
        <f>IF('Control de rollos'!D32&lt;&gt;"","B","")</f>
        <v/>
      </c>
      <c r="B34" t="str">
        <f>IF(A34="","",A34&amp;"-"&amp;TEXT(COUNTIF($A$2:A34,A34),"000"))</f>
        <v/>
      </c>
      <c r="C34" t="str">
        <f>IF(A34="","",D32)</f>
        <v/>
      </c>
      <c r="E34" t="str">
        <f>IF(A34="","",Configuración!B3)</f>
        <v/>
      </c>
      <c r="F34" t="str">
        <f>IF(A34="","",SUMIF('Registro de trabajos'!F:F,B34,'Registro de trabajos'!G:G))</f>
        <v/>
      </c>
      <c r="G34" t="str">
        <f t="shared" si="0"/>
        <v/>
      </c>
      <c r="H34" t="str">
        <f>IF(A34="","",0)</f>
        <v/>
      </c>
      <c r="I34" t="str">
        <f>IF(A34="","",0)</f>
        <v/>
      </c>
      <c r="J34" t="str">
        <f t="shared" si="1"/>
        <v/>
      </c>
      <c r="K34" t="str">
        <f>IF(A34="","",COUNTIF('Registro de trabajos'!F:F,B34))</f>
        <v/>
      </c>
      <c r="L34" t="str">
        <f>IF(A34="","",F34)</f>
        <v/>
      </c>
      <c r="M34" t="str">
        <f t="shared" si="2"/>
        <v/>
      </c>
    </row>
    <row r="35" spans="1:13" x14ac:dyDescent="0.25">
      <c r="A35" t="str">
        <f>IF('Control de rollos'!D32&lt;&gt;"","A","")</f>
        <v/>
      </c>
      <c r="B35" t="str">
        <f>IF(A35="","",A35&amp;"-"&amp;TEXT(COUNTIF($A$2:A35,A35),"000"))</f>
        <v/>
      </c>
      <c r="C35" t="str">
        <f>IF(A35="","",D32)</f>
        <v/>
      </c>
      <c r="E35" t="str">
        <f>IF(A35="","",Configuración!B3)</f>
        <v/>
      </c>
      <c r="F35" t="str">
        <f>IF(A35="","",SUMIF('Registro de trabajos'!D:D,B35,'Registro de trabajos'!E:E))</f>
        <v/>
      </c>
      <c r="G35" t="str">
        <f t="shared" si="0"/>
        <v/>
      </c>
      <c r="H35" t="str">
        <f>IF(A35="","",SUMIF('Registro de trabajos'!D:D,B35,'Registro de trabajos'!H:H))</f>
        <v/>
      </c>
      <c r="I35" t="str">
        <f>IF(A35="","",Configuración!B4)</f>
        <v/>
      </c>
      <c r="J35" t="str">
        <f t="shared" si="1"/>
        <v/>
      </c>
      <c r="K35" t="str">
        <f>IF(A35="","",COUNTIF('Registro de trabajos'!D:D,B35))</f>
        <v/>
      </c>
      <c r="L35" t="str">
        <f>IF(A35="","",SUMIF('Registro de trabajos'!D:D,B35,'Registro de trabajos'!G:G))</f>
        <v/>
      </c>
      <c r="M35" t="str">
        <f t="shared" si="2"/>
        <v/>
      </c>
    </row>
    <row r="36" spans="1:13" x14ac:dyDescent="0.25">
      <c r="A36" t="str">
        <f>IF('Control de rollos'!D34&lt;&gt;"","B","")</f>
        <v/>
      </c>
      <c r="B36" t="str">
        <f>IF(A36="","",A36&amp;"-"&amp;TEXT(COUNTIF($A$2:A36,A36),"000"))</f>
        <v/>
      </c>
      <c r="C36" t="str">
        <f>IF(A36="","",D34)</f>
        <v/>
      </c>
      <c r="E36" t="str">
        <f>IF(A36="","",Configuración!B3)</f>
        <v/>
      </c>
      <c r="F36" t="str">
        <f>IF(A36="","",SUMIF('Registro de trabajos'!F:F,B36,'Registro de trabajos'!G:G))</f>
        <v/>
      </c>
      <c r="G36" t="str">
        <f t="shared" si="0"/>
        <v/>
      </c>
      <c r="H36" t="str">
        <f>IF(A36="","",0)</f>
        <v/>
      </c>
      <c r="I36" t="str">
        <f>IF(A36="","",0)</f>
        <v/>
      </c>
      <c r="J36" t="str">
        <f t="shared" si="1"/>
        <v/>
      </c>
      <c r="K36" t="str">
        <f>IF(A36="","",COUNTIF('Registro de trabajos'!F:F,B36))</f>
        <v/>
      </c>
      <c r="L36" t="str">
        <f>IF(A36="","",F36)</f>
        <v/>
      </c>
      <c r="M36" t="str">
        <f t="shared" si="2"/>
        <v/>
      </c>
    </row>
    <row r="37" spans="1:13" x14ac:dyDescent="0.25">
      <c r="A37" t="str">
        <f>IF('Control de rollos'!D34&lt;&gt;"","A","")</f>
        <v/>
      </c>
      <c r="B37" t="str">
        <f>IF(A37="","",A37&amp;"-"&amp;TEXT(COUNTIF($A$2:A37,A37),"000"))</f>
        <v/>
      </c>
      <c r="C37" t="str">
        <f>IF(A37="","",D34)</f>
        <v/>
      </c>
      <c r="E37" t="str">
        <f>IF(A37="","",Configuración!B3)</f>
        <v/>
      </c>
      <c r="F37" t="str">
        <f>IF(A37="","",SUMIF('Registro de trabajos'!D:D,B37,'Registro de trabajos'!E:E))</f>
        <v/>
      </c>
      <c r="G37" t="str">
        <f t="shared" ref="G37:G68" si="3">IF(A37="","",MAX(0,E37-F37))</f>
        <v/>
      </c>
      <c r="H37" t="str">
        <f>IF(A37="","",SUMIF('Registro de trabajos'!D:D,B37,'Registro de trabajos'!H:H))</f>
        <v/>
      </c>
      <c r="I37" t="str">
        <f>IF(A37="","",Configuración!B4)</f>
        <v/>
      </c>
      <c r="J37" t="str">
        <f t="shared" ref="J37:J68" si="4">IF(A37="","",H37-I37)</f>
        <v/>
      </c>
      <c r="K37" t="str">
        <f>IF(A37="","",COUNTIF('Registro de trabajos'!D:D,B37))</f>
        <v/>
      </c>
      <c r="L37" t="str">
        <f>IF(A37="","",SUMIF('Registro de trabajos'!D:D,B37,'Registro de trabajos'!G:G))</f>
        <v/>
      </c>
      <c r="M37" t="str">
        <f t="shared" ref="M37:M68" si="5">IF(A37="","",IF(D37="","EN USO","FINALIZADO"))</f>
        <v/>
      </c>
    </row>
    <row r="38" spans="1:13" x14ac:dyDescent="0.25">
      <c r="A38" t="str">
        <f>IF('Control de rollos'!D36&lt;&gt;"","B","")</f>
        <v/>
      </c>
      <c r="B38" t="str">
        <f>IF(A38="","",A38&amp;"-"&amp;TEXT(COUNTIF($A$2:A38,A38),"000"))</f>
        <v/>
      </c>
      <c r="C38" t="str">
        <f>IF(A38="","",D36)</f>
        <v/>
      </c>
      <c r="E38" t="str">
        <f>IF(A38="","",Configuración!B3)</f>
        <v/>
      </c>
      <c r="F38" t="str">
        <f>IF(A38="","",SUMIF('Registro de trabajos'!F:F,B38,'Registro de trabajos'!G:G))</f>
        <v/>
      </c>
      <c r="G38" t="str">
        <f t="shared" si="3"/>
        <v/>
      </c>
      <c r="H38" t="str">
        <f>IF(A38="","",0)</f>
        <v/>
      </c>
      <c r="I38" t="str">
        <f>IF(A38="","",0)</f>
        <v/>
      </c>
      <c r="J38" t="str">
        <f t="shared" si="4"/>
        <v/>
      </c>
      <c r="K38" t="str">
        <f>IF(A38="","",COUNTIF('Registro de trabajos'!F:F,B38))</f>
        <v/>
      </c>
      <c r="L38" t="str">
        <f>IF(A38="","",F38)</f>
        <v/>
      </c>
      <c r="M38" t="str">
        <f t="shared" si="5"/>
        <v/>
      </c>
    </row>
    <row r="39" spans="1:13" x14ac:dyDescent="0.25">
      <c r="A39" t="str">
        <f>IF('Control de rollos'!D36&lt;&gt;"","A","")</f>
        <v/>
      </c>
      <c r="B39" t="str">
        <f>IF(A39="","",A39&amp;"-"&amp;TEXT(COUNTIF($A$2:A39,A39),"000"))</f>
        <v/>
      </c>
      <c r="C39" t="str">
        <f>IF(A39="","",D36)</f>
        <v/>
      </c>
      <c r="E39" t="str">
        <f>IF(A39="","",Configuración!B3)</f>
        <v/>
      </c>
      <c r="F39" t="str">
        <f>IF(A39="","",SUMIF('Registro de trabajos'!D:D,B39,'Registro de trabajos'!E:E))</f>
        <v/>
      </c>
      <c r="G39" t="str">
        <f t="shared" si="3"/>
        <v/>
      </c>
      <c r="H39" t="str">
        <f>IF(A39="","",SUMIF('Registro de trabajos'!D:D,B39,'Registro de trabajos'!H:H))</f>
        <v/>
      </c>
      <c r="I39" t="str">
        <f>IF(A39="","",Configuración!B4)</f>
        <v/>
      </c>
      <c r="J39" t="str">
        <f t="shared" si="4"/>
        <v/>
      </c>
      <c r="K39" t="str">
        <f>IF(A39="","",COUNTIF('Registro de trabajos'!D:D,B39))</f>
        <v/>
      </c>
      <c r="L39" t="str">
        <f>IF(A39="","",SUMIF('Registro de trabajos'!D:D,B39,'Registro de trabajos'!G:G))</f>
        <v/>
      </c>
      <c r="M39" t="str">
        <f t="shared" si="5"/>
        <v/>
      </c>
    </row>
    <row r="40" spans="1:13" x14ac:dyDescent="0.25">
      <c r="A40" t="str">
        <f>IF('Control de rollos'!D38&lt;&gt;"","B","")</f>
        <v/>
      </c>
      <c r="B40" t="str">
        <f>IF(A40="","",A40&amp;"-"&amp;TEXT(COUNTIF($A$2:A40,A40),"000"))</f>
        <v/>
      </c>
      <c r="C40" t="str">
        <f>IF(A40="","",D38)</f>
        <v/>
      </c>
      <c r="E40" t="str">
        <f>IF(A40="","",Configuración!B3)</f>
        <v/>
      </c>
      <c r="F40" t="str">
        <f>IF(A40="","",SUMIF('Registro de trabajos'!F:F,B40,'Registro de trabajos'!G:G))</f>
        <v/>
      </c>
      <c r="G40" t="str">
        <f t="shared" si="3"/>
        <v/>
      </c>
      <c r="H40" t="str">
        <f>IF(A40="","",0)</f>
        <v/>
      </c>
      <c r="I40" t="str">
        <f>IF(A40="","",0)</f>
        <v/>
      </c>
      <c r="J40" t="str">
        <f t="shared" si="4"/>
        <v/>
      </c>
      <c r="K40" t="str">
        <f>IF(A40="","",COUNTIF('Registro de trabajos'!F:F,B40))</f>
        <v/>
      </c>
      <c r="L40" t="str">
        <f>IF(A40="","",F40)</f>
        <v/>
      </c>
      <c r="M40" t="str">
        <f t="shared" si="5"/>
        <v/>
      </c>
    </row>
    <row r="41" spans="1:13" x14ac:dyDescent="0.25">
      <c r="A41" t="str">
        <f>IF('Control de rollos'!D38&lt;&gt;"","A","")</f>
        <v/>
      </c>
      <c r="B41" t="str">
        <f>IF(A41="","",A41&amp;"-"&amp;TEXT(COUNTIF($A$2:A41,A41),"000"))</f>
        <v/>
      </c>
      <c r="C41" t="str">
        <f>IF(A41="","",D38)</f>
        <v/>
      </c>
      <c r="E41" t="str">
        <f>IF(A41="","",Configuración!B3)</f>
        <v/>
      </c>
      <c r="F41" t="str">
        <f>IF(A41="","",SUMIF('Registro de trabajos'!D:D,B41,'Registro de trabajos'!E:E))</f>
        <v/>
      </c>
      <c r="G41" t="str">
        <f t="shared" si="3"/>
        <v/>
      </c>
      <c r="H41" t="str">
        <f>IF(A41="","",SUMIF('Registro de trabajos'!D:D,B41,'Registro de trabajos'!H:H))</f>
        <v/>
      </c>
      <c r="I41" t="str">
        <f>IF(A41="","",Configuración!B4)</f>
        <v/>
      </c>
      <c r="J41" t="str">
        <f t="shared" si="4"/>
        <v/>
      </c>
      <c r="K41" t="str">
        <f>IF(A41="","",COUNTIF('Registro de trabajos'!D:D,B41))</f>
        <v/>
      </c>
      <c r="L41" t="str">
        <f>IF(A41="","",SUMIF('Registro de trabajos'!D:D,B41,'Registro de trabajos'!G:G))</f>
        <v/>
      </c>
      <c r="M41" t="str">
        <f t="shared" si="5"/>
        <v/>
      </c>
    </row>
    <row r="42" spans="1:13" x14ac:dyDescent="0.25">
      <c r="A42" t="str">
        <f>IF('Control de rollos'!D40&lt;&gt;"","B","")</f>
        <v/>
      </c>
      <c r="B42" t="str">
        <f>IF(A42="","",A42&amp;"-"&amp;TEXT(COUNTIF($A$2:A42,A42),"000"))</f>
        <v/>
      </c>
      <c r="C42" t="str">
        <f>IF(A42="","",D40)</f>
        <v/>
      </c>
      <c r="E42" t="str">
        <f>IF(A42="","",Configuración!B3)</f>
        <v/>
      </c>
      <c r="F42" t="str">
        <f>IF(A42="","",SUMIF('Registro de trabajos'!F:F,B42,'Registro de trabajos'!G:G))</f>
        <v/>
      </c>
      <c r="G42" t="str">
        <f t="shared" si="3"/>
        <v/>
      </c>
      <c r="H42" t="str">
        <f>IF(A42="","",0)</f>
        <v/>
      </c>
      <c r="I42" t="str">
        <f>IF(A42="","",0)</f>
        <v/>
      </c>
      <c r="J42" t="str">
        <f t="shared" si="4"/>
        <v/>
      </c>
      <c r="K42" t="str">
        <f>IF(A42="","",COUNTIF('Registro de trabajos'!F:F,B42))</f>
        <v/>
      </c>
      <c r="L42" t="str">
        <f>IF(A42="","",F42)</f>
        <v/>
      </c>
      <c r="M42" t="str">
        <f t="shared" si="5"/>
        <v/>
      </c>
    </row>
    <row r="43" spans="1:13" x14ac:dyDescent="0.25">
      <c r="A43" t="str">
        <f>IF('Control de rollos'!D40&lt;&gt;"","A","")</f>
        <v/>
      </c>
      <c r="B43" t="str">
        <f>IF(A43="","",A43&amp;"-"&amp;TEXT(COUNTIF($A$2:A43,A43),"000"))</f>
        <v/>
      </c>
      <c r="C43" t="str">
        <f>IF(A43="","",D40)</f>
        <v/>
      </c>
      <c r="E43" t="str">
        <f>IF(A43="","",Configuración!B3)</f>
        <v/>
      </c>
      <c r="F43" t="str">
        <f>IF(A43="","",SUMIF('Registro de trabajos'!D:D,B43,'Registro de trabajos'!E:E))</f>
        <v/>
      </c>
      <c r="G43" t="str">
        <f t="shared" si="3"/>
        <v/>
      </c>
      <c r="H43" t="str">
        <f>IF(A43="","",SUMIF('Registro de trabajos'!D:D,B43,'Registro de trabajos'!H:H))</f>
        <v/>
      </c>
      <c r="I43" t="str">
        <f>IF(A43="","",Configuración!B4)</f>
        <v/>
      </c>
      <c r="J43" t="str">
        <f t="shared" si="4"/>
        <v/>
      </c>
      <c r="K43" t="str">
        <f>IF(A43="","",COUNTIF('Registro de trabajos'!D:D,B43))</f>
        <v/>
      </c>
      <c r="L43" t="str">
        <f>IF(A43="","",SUMIF('Registro de trabajos'!D:D,B43,'Registro de trabajos'!G:G))</f>
        <v/>
      </c>
      <c r="M43" t="str">
        <f t="shared" si="5"/>
        <v/>
      </c>
    </row>
    <row r="44" spans="1:13" x14ac:dyDescent="0.25">
      <c r="A44" t="str">
        <f>IF('Control de rollos'!D42&lt;&gt;"","B","")</f>
        <v/>
      </c>
      <c r="B44" t="str">
        <f>IF(A44="","",A44&amp;"-"&amp;TEXT(COUNTIF($A$2:A44,A44),"000"))</f>
        <v/>
      </c>
      <c r="C44" t="str">
        <f>IF(A44="","",D42)</f>
        <v/>
      </c>
      <c r="E44" t="str">
        <f>IF(A44="","",Configuración!B3)</f>
        <v/>
      </c>
      <c r="F44" t="str">
        <f>IF(A44="","",SUMIF('Registro de trabajos'!F:F,B44,'Registro de trabajos'!G:G))</f>
        <v/>
      </c>
      <c r="G44" t="str">
        <f t="shared" si="3"/>
        <v/>
      </c>
      <c r="H44" t="str">
        <f>IF(A44="","",0)</f>
        <v/>
      </c>
      <c r="I44" t="str">
        <f>IF(A44="","",0)</f>
        <v/>
      </c>
      <c r="J44" t="str">
        <f t="shared" si="4"/>
        <v/>
      </c>
      <c r="K44" t="str">
        <f>IF(A44="","",COUNTIF('Registro de trabajos'!F:F,B44))</f>
        <v/>
      </c>
      <c r="L44" t="str">
        <f>IF(A44="","",F44)</f>
        <v/>
      </c>
      <c r="M44" t="str">
        <f t="shared" si="5"/>
        <v/>
      </c>
    </row>
    <row r="45" spans="1:13" x14ac:dyDescent="0.25">
      <c r="A45" t="str">
        <f>IF('Control de rollos'!D42&lt;&gt;"","A","")</f>
        <v/>
      </c>
      <c r="B45" t="str">
        <f>IF(A45="","",A45&amp;"-"&amp;TEXT(COUNTIF($A$2:A45,A45),"000"))</f>
        <v/>
      </c>
      <c r="C45" t="str">
        <f>IF(A45="","",D42)</f>
        <v/>
      </c>
      <c r="E45" t="str">
        <f>IF(A45="","",Configuración!B3)</f>
        <v/>
      </c>
      <c r="F45" t="str">
        <f>IF(A45="","",SUMIF('Registro de trabajos'!D:D,B45,'Registro de trabajos'!E:E))</f>
        <v/>
      </c>
      <c r="G45" t="str">
        <f t="shared" si="3"/>
        <v/>
      </c>
      <c r="H45" t="str">
        <f>IF(A45="","",SUMIF('Registro de trabajos'!D:D,B45,'Registro de trabajos'!H:H))</f>
        <v/>
      </c>
      <c r="I45" t="str">
        <f>IF(A45="","",Configuración!B4)</f>
        <v/>
      </c>
      <c r="J45" t="str">
        <f t="shared" si="4"/>
        <v/>
      </c>
      <c r="K45" t="str">
        <f>IF(A45="","",COUNTIF('Registro de trabajos'!D:D,B45))</f>
        <v/>
      </c>
      <c r="L45" t="str">
        <f>IF(A45="","",SUMIF('Registro de trabajos'!D:D,B45,'Registro de trabajos'!G:G))</f>
        <v/>
      </c>
      <c r="M45" t="str">
        <f t="shared" si="5"/>
        <v/>
      </c>
    </row>
    <row r="46" spans="1:13" x14ac:dyDescent="0.25">
      <c r="A46" t="str">
        <f>IF('Control de rollos'!D44&lt;&gt;"","B","")</f>
        <v/>
      </c>
      <c r="B46" t="str">
        <f>IF(A46="","",A46&amp;"-"&amp;TEXT(COUNTIF($A$2:A46,A46),"000"))</f>
        <v/>
      </c>
      <c r="C46" t="str">
        <f>IF(A46="","",D44)</f>
        <v/>
      </c>
      <c r="E46" t="str">
        <f>IF(A46="","",Configuración!B3)</f>
        <v/>
      </c>
      <c r="F46" t="str">
        <f>IF(A46="","",SUMIF('Registro de trabajos'!F:F,B46,'Registro de trabajos'!G:G))</f>
        <v/>
      </c>
      <c r="G46" t="str">
        <f t="shared" si="3"/>
        <v/>
      </c>
      <c r="H46" t="str">
        <f>IF(A46="","",0)</f>
        <v/>
      </c>
      <c r="I46" t="str">
        <f>IF(A46="","",0)</f>
        <v/>
      </c>
      <c r="J46" t="str">
        <f t="shared" si="4"/>
        <v/>
      </c>
      <c r="K46" t="str">
        <f>IF(A46="","",COUNTIF('Registro de trabajos'!F:F,B46))</f>
        <v/>
      </c>
      <c r="L46" t="str">
        <f>IF(A46="","",F46)</f>
        <v/>
      </c>
      <c r="M46" t="str">
        <f t="shared" si="5"/>
        <v/>
      </c>
    </row>
    <row r="47" spans="1:13" x14ac:dyDescent="0.25">
      <c r="A47" t="str">
        <f>IF('Control de rollos'!D44&lt;&gt;"","A","")</f>
        <v/>
      </c>
      <c r="B47" t="str">
        <f>IF(A47="","",A47&amp;"-"&amp;TEXT(COUNTIF($A$2:A47,A47),"000"))</f>
        <v/>
      </c>
      <c r="C47" t="str">
        <f>IF(A47="","",D44)</f>
        <v/>
      </c>
      <c r="E47" t="str">
        <f>IF(A47="","",Configuración!B3)</f>
        <v/>
      </c>
      <c r="F47" t="str">
        <f>IF(A47="","",SUMIF('Registro de trabajos'!D:D,B47,'Registro de trabajos'!E:E))</f>
        <v/>
      </c>
      <c r="G47" t="str">
        <f t="shared" si="3"/>
        <v/>
      </c>
      <c r="H47" t="str">
        <f>IF(A47="","",SUMIF('Registro de trabajos'!D:D,B47,'Registro de trabajos'!H:H))</f>
        <v/>
      </c>
      <c r="I47" t="str">
        <f>IF(A47="","",Configuración!B4)</f>
        <v/>
      </c>
      <c r="J47" t="str">
        <f t="shared" si="4"/>
        <v/>
      </c>
      <c r="K47" t="str">
        <f>IF(A47="","",COUNTIF('Registro de trabajos'!D:D,B47))</f>
        <v/>
      </c>
      <c r="L47" t="str">
        <f>IF(A47="","",SUMIF('Registro de trabajos'!D:D,B47,'Registro de trabajos'!G:G))</f>
        <v/>
      </c>
      <c r="M47" t="str">
        <f t="shared" si="5"/>
        <v/>
      </c>
    </row>
    <row r="48" spans="1:13" x14ac:dyDescent="0.25">
      <c r="A48" t="str">
        <f>IF('Control de rollos'!D46&lt;&gt;"","B","")</f>
        <v/>
      </c>
      <c r="B48" t="str">
        <f>IF(A48="","",A48&amp;"-"&amp;TEXT(COUNTIF($A$2:A48,A48),"000"))</f>
        <v/>
      </c>
      <c r="C48" t="str">
        <f>IF(A48="","",D46)</f>
        <v/>
      </c>
      <c r="E48" t="str">
        <f>IF(A48="","",Configuración!B3)</f>
        <v/>
      </c>
      <c r="F48" t="str">
        <f>IF(A48="","",SUMIF('Registro de trabajos'!F:F,B48,'Registro de trabajos'!G:G))</f>
        <v/>
      </c>
      <c r="G48" t="str">
        <f t="shared" si="3"/>
        <v/>
      </c>
      <c r="H48" t="str">
        <f>IF(A48="","",0)</f>
        <v/>
      </c>
      <c r="I48" t="str">
        <f>IF(A48="","",0)</f>
        <v/>
      </c>
      <c r="J48" t="str">
        <f t="shared" si="4"/>
        <v/>
      </c>
      <c r="K48" t="str">
        <f>IF(A48="","",COUNTIF('Registro de trabajos'!F:F,B48))</f>
        <v/>
      </c>
      <c r="L48" t="str">
        <f>IF(A48="","",F48)</f>
        <v/>
      </c>
      <c r="M48" t="str">
        <f t="shared" si="5"/>
        <v/>
      </c>
    </row>
    <row r="49" spans="1:13" x14ac:dyDescent="0.25">
      <c r="A49" t="str">
        <f>IF('Control de rollos'!D46&lt;&gt;"","A","")</f>
        <v/>
      </c>
      <c r="B49" t="str">
        <f>IF(A49="","",A49&amp;"-"&amp;TEXT(COUNTIF($A$2:A49,A49),"000"))</f>
        <v/>
      </c>
      <c r="C49" t="str">
        <f>IF(A49="","",D46)</f>
        <v/>
      </c>
      <c r="E49" t="str">
        <f>IF(A49="","",Configuración!B3)</f>
        <v/>
      </c>
      <c r="F49" t="str">
        <f>IF(A49="","",SUMIF('Registro de trabajos'!D:D,B49,'Registro de trabajos'!E:E))</f>
        <v/>
      </c>
      <c r="G49" t="str">
        <f t="shared" si="3"/>
        <v/>
      </c>
      <c r="H49" t="str">
        <f>IF(A49="","",SUMIF('Registro de trabajos'!D:D,B49,'Registro de trabajos'!H:H))</f>
        <v/>
      </c>
      <c r="I49" t="str">
        <f>IF(A49="","",Configuración!B4)</f>
        <v/>
      </c>
      <c r="J49" t="str">
        <f t="shared" si="4"/>
        <v/>
      </c>
      <c r="K49" t="str">
        <f>IF(A49="","",COUNTIF('Registro de trabajos'!D:D,B49))</f>
        <v/>
      </c>
      <c r="L49" t="str">
        <f>IF(A49="","",SUMIF('Registro de trabajos'!D:D,B49,'Registro de trabajos'!G:G))</f>
        <v/>
      </c>
      <c r="M49" t="str">
        <f t="shared" si="5"/>
        <v/>
      </c>
    </row>
    <row r="50" spans="1:13" x14ac:dyDescent="0.25">
      <c r="A50" t="str">
        <f>IF('Control de rollos'!D48&lt;&gt;"","B","")</f>
        <v/>
      </c>
      <c r="B50" t="str">
        <f>IF(A50="","",A50&amp;"-"&amp;TEXT(COUNTIF($A$2:A50,A50),"000"))</f>
        <v/>
      </c>
      <c r="C50" t="str">
        <f>IF(A50="","",D48)</f>
        <v/>
      </c>
      <c r="E50" t="str">
        <f>IF(A50="","",Configuración!B3)</f>
        <v/>
      </c>
      <c r="F50" t="str">
        <f>IF(A50="","",SUMIF('Registro de trabajos'!F:F,B50,'Registro de trabajos'!G:G))</f>
        <v/>
      </c>
      <c r="G50" t="str">
        <f t="shared" si="3"/>
        <v/>
      </c>
      <c r="H50" t="str">
        <f>IF(A50="","",0)</f>
        <v/>
      </c>
      <c r="I50" t="str">
        <f>IF(A50="","",0)</f>
        <v/>
      </c>
      <c r="J50" t="str">
        <f t="shared" si="4"/>
        <v/>
      </c>
      <c r="K50" t="str">
        <f>IF(A50="","",COUNTIF('Registro de trabajos'!F:F,B50))</f>
        <v/>
      </c>
      <c r="L50" t="str">
        <f>IF(A50="","",F50)</f>
        <v/>
      </c>
      <c r="M50" t="str">
        <f t="shared" si="5"/>
        <v/>
      </c>
    </row>
    <row r="51" spans="1:13" x14ac:dyDescent="0.25">
      <c r="A51" t="str">
        <f>IF('Control de rollos'!D48&lt;&gt;"","A","")</f>
        <v/>
      </c>
      <c r="B51" t="str">
        <f>IF(A51="","",A51&amp;"-"&amp;TEXT(COUNTIF($A$2:A51,A51),"000"))</f>
        <v/>
      </c>
      <c r="C51" t="str">
        <f>IF(A51="","",D48)</f>
        <v/>
      </c>
      <c r="E51" t="str">
        <f>IF(A51="","",Configuración!B3)</f>
        <v/>
      </c>
      <c r="F51" t="str">
        <f>IF(A51="","",SUMIF('Registro de trabajos'!D:D,B51,'Registro de trabajos'!E:E))</f>
        <v/>
      </c>
      <c r="G51" t="str">
        <f t="shared" si="3"/>
        <v/>
      </c>
      <c r="H51" t="str">
        <f>IF(A51="","",SUMIF('Registro de trabajos'!D:D,B51,'Registro de trabajos'!H:H))</f>
        <v/>
      </c>
      <c r="I51" t="str">
        <f>IF(A51="","",Configuración!B4)</f>
        <v/>
      </c>
      <c r="J51" t="str">
        <f t="shared" si="4"/>
        <v/>
      </c>
      <c r="K51" t="str">
        <f>IF(A51="","",COUNTIF('Registro de trabajos'!D:D,B51))</f>
        <v/>
      </c>
      <c r="L51" t="str">
        <f>IF(A51="","",SUMIF('Registro de trabajos'!D:D,B51,'Registro de trabajos'!G:G))</f>
        <v/>
      </c>
      <c r="M51" t="str">
        <f t="shared" si="5"/>
        <v/>
      </c>
    </row>
    <row r="52" spans="1:13" x14ac:dyDescent="0.25">
      <c r="A52" t="str">
        <f>IF('Control de rollos'!D50&lt;&gt;"","B","")</f>
        <v/>
      </c>
      <c r="B52" t="str">
        <f>IF(A52="","",A52&amp;"-"&amp;TEXT(COUNTIF($A$2:A52,A52),"000"))</f>
        <v/>
      </c>
      <c r="C52" t="str">
        <f>IF(A52="","",D50)</f>
        <v/>
      </c>
      <c r="E52" t="str">
        <f>IF(A52="","",Configuración!B3)</f>
        <v/>
      </c>
      <c r="F52" t="str">
        <f>IF(A52="","",SUMIF('Registro de trabajos'!F:F,B52,'Registro de trabajos'!G:G))</f>
        <v/>
      </c>
      <c r="G52" t="str">
        <f t="shared" si="3"/>
        <v/>
      </c>
      <c r="H52" t="str">
        <f>IF(A52="","",0)</f>
        <v/>
      </c>
      <c r="I52" t="str">
        <f>IF(A52="","",0)</f>
        <v/>
      </c>
      <c r="J52" t="str">
        <f t="shared" si="4"/>
        <v/>
      </c>
      <c r="K52" t="str">
        <f>IF(A52="","",COUNTIF('Registro de trabajos'!F:F,B52))</f>
        <v/>
      </c>
      <c r="L52" t="str">
        <f>IF(A52="","",F52)</f>
        <v/>
      </c>
      <c r="M52" t="str">
        <f t="shared" si="5"/>
        <v/>
      </c>
    </row>
    <row r="53" spans="1:13" x14ac:dyDescent="0.25">
      <c r="A53" t="str">
        <f>IF('Control de rollos'!D50&lt;&gt;"","A","")</f>
        <v/>
      </c>
      <c r="B53" t="str">
        <f>IF(A53="","",A53&amp;"-"&amp;TEXT(COUNTIF($A$2:A53,A53),"000"))</f>
        <v/>
      </c>
      <c r="C53" t="str">
        <f>IF(A53="","",D50)</f>
        <v/>
      </c>
      <c r="E53" t="str">
        <f>IF(A53="","",Configuración!B3)</f>
        <v/>
      </c>
      <c r="F53" t="str">
        <f>IF(A53="","",SUMIF('Registro de trabajos'!D:D,B53,'Registro de trabajos'!E:E))</f>
        <v/>
      </c>
      <c r="G53" t="str">
        <f t="shared" si="3"/>
        <v/>
      </c>
      <c r="H53" t="str">
        <f>IF(A53="","",SUMIF('Registro de trabajos'!D:D,B53,'Registro de trabajos'!H:H))</f>
        <v/>
      </c>
      <c r="I53" t="str">
        <f>IF(A53="","",Configuración!B4)</f>
        <v/>
      </c>
      <c r="J53" t="str">
        <f t="shared" si="4"/>
        <v/>
      </c>
      <c r="K53" t="str">
        <f>IF(A53="","",COUNTIF('Registro de trabajos'!D:D,B53))</f>
        <v/>
      </c>
      <c r="L53" t="str">
        <f>IF(A53="","",SUMIF('Registro de trabajos'!D:D,B53,'Registro de trabajos'!G:G))</f>
        <v/>
      </c>
      <c r="M53" t="str">
        <f t="shared" si="5"/>
        <v/>
      </c>
    </row>
    <row r="54" spans="1:13" x14ac:dyDescent="0.25">
      <c r="A54" t="str">
        <f>IF('Control de rollos'!D52&lt;&gt;"","B","")</f>
        <v/>
      </c>
      <c r="B54" t="str">
        <f>IF(A54="","",A54&amp;"-"&amp;TEXT(COUNTIF($A$2:A54,A54),"000"))</f>
        <v/>
      </c>
      <c r="C54" t="str">
        <f>IF(A54="","",D52)</f>
        <v/>
      </c>
      <c r="E54" t="str">
        <f>IF(A54="","",Configuración!B3)</f>
        <v/>
      </c>
      <c r="F54" t="str">
        <f>IF(A54="","",SUMIF('Registro de trabajos'!F:F,B54,'Registro de trabajos'!G:G))</f>
        <v/>
      </c>
      <c r="G54" t="str">
        <f t="shared" si="3"/>
        <v/>
      </c>
      <c r="H54" t="str">
        <f>IF(A54="","",0)</f>
        <v/>
      </c>
      <c r="I54" t="str">
        <f>IF(A54="","",0)</f>
        <v/>
      </c>
      <c r="J54" t="str">
        <f t="shared" si="4"/>
        <v/>
      </c>
      <c r="K54" t="str">
        <f>IF(A54="","",COUNTIF('Registro de trabajos'!F:F,B54))</f>
        <v/>
      </c>
      <c r="L54" t="str">
        <f>IF(A54="","",F54)</f>
        <v/>
      </c>
      <c r="M54" t="str">
        <f t="shared" si="5"/>
        <v/>
      </c>
    </row>
    <row r="55" spans="1:13" x14ac:dyDescent="0.25">
      <c r="A55" t="str">
        <f>IF('Control de rollos'!D52&lt;&gt;"","A","")</f>
        <v/>
      </c>
      <c r="B55" t="str">
        <f>IF(A55="","",A55&amp;"-"&amp;TEXT(COUNTIF($A$2:A55,A55),"000"))</f>
        <v/>
      </c>
      <c r="C55" t="str">
        <f>IF(A55="","",D52)</f>
        <v/>
      </c>
      <c r="E55" t="str">
        <f>IF(A55="","",Configuración!B3)</f>
        <v/>
      </c>
      <c r="F55" t="str">
        <f>IF(A55="","",SUMIF('Registro de trabajos'!D:D,B55,'Registro de trabajos'!E:E))</f>
        <v/>
      </c>
      <c r="G55" t="str">
        <f t="shared" si="3"/>
        <v/>
      </c>
      <c r="H55" t="str">
        <f>IF(A55="","",SUMIF('Registro de trabajos'!D:D,B55,'Registro de trabajos'!H:H))</f>
        <v/>
      </c>
      <c r="I55" t="str">
        <f>IF(A55="","",Configuración!B4)</f>
        <v/>
      </c>
      <c r="J55" t="str">
        <f t="shared" si="4"/>
        <v/>
      </c>
      <c r="K55" t="str">
        <f>IF(A55="","",COUNTIF('Registro de trabajos'!D:D,B55))</f>
        <v/>
      </c>
      <c r="L55" t="str">
        <f>IF(A55="","",SUMIF('Registro de trabajos'!D:D,B55,'Registro de trabajos'!G:G))</f>
        <v/>
      </c>
      <c r="M55" t="str">
        <f t="shared" si="5"/>
        <v/>
      </c>
    </row>
    <row r="56" spans="1:13" x14ac:dyDescent="0.25">
      <c r="A56" t="str">
        <f>IF('Control de rollos'!D54&lt;&gt;"","B","")</f>
        <v/>
      </c>
      <c r="B56" t="str">
        <f>IF(A56="","",A56&amp;"-"&amp;TEXT(COUNTIF($A$2:A56,A56),"000"))</f>
        <v/>
      </c>
      <c r="C56" t="str">
        <f>IF(A56="","",D54)</f>
        <v/>
      </c>
      <c r="E56" t="str">
        <f>IF(A56="","",Configuración!B3)</f>
        <v/>
      </c>
      <c r="F56" t="str">
        <f>IF(A56="","",SUMIF('Registro de trabajos'!F:F,B56,'Registro de trabajos'!G:G))</f>
        <v/>
      </c>
      <c r="G56" t="str">
        <f t="shared" si="3"/>
        <v/>
      </c>
      <c r="H56" t="str">
        <f>IF(A56="","",0)</f>
        <v/>
      </c>
      <c r="I56" t="str">
        <f>IF(A56="","",0)</f>
        <v/>
      </c>
      <c r="J56" t="str">
        <f t="shared" si="4"/>
        <v/>
      </c>
      <c r="K56" t="str">
        <f>IF(A56="","",COUNTIF('Registro de trabajos'!F:F,B56))</f>
        <v/>
      </c>
      <c r="L56" t="str">
        <f>IF(A56="","",F56)</f>
        <v/>
      </c>
      <c r="M56" t="str">
        <f t="shared" si="5"/>
        <v/>
      </c>
    </row>
    <row r="57" spans="1:13" x14ac:dyDescent="0.25">
      <c r="A57" t="str">
        <f>IF('Control de rollos'!D54&lt;&gt;"","A","")</f>
        <v/>
      </c>
      <c r="B57" t="str">
        <f>IF(A57="","",A57&amp;"-"&amp;TEXT(COUNTIF($A$2:A57,A57),"000"))</f>
        <v/>
      </c>
      <c r="C57" t="str">
        <f>IF(A57="","",D54)</f>
        <v/>
      </c>
      <c r="E57" t="str">
        <f>IF(A57="","",Configuración!B3)</f>
        <v/>
      </c>
      <c r="F57" t="str">
        <f>IF(A57="","",SUMIF('Registro de trabajos'!D:D,B57,'Registro de trabajos'!E:E))</f>
        <v/>
      </c>
      <c r="G57" t="str">
        <f t="shared" si="3"/>
        <v/>
      </c>
      <c r="H57" t="str">
        <f>IF(A57="","",SUMIF('Registro de trabajos'!D:D,B57,'Registro de trabajos'!H:H))</f>
        <v/>
      </c>
      <c r="I57" t="str">
        <f>IF(A57="","",Configuración!B4)</f>
        <v/>
      </c>
      <c r="J57" t="str">
        <f t="shared" si="4"/>
        <v/>
      </c>
      <c r="K57" t="str">
        <f>IF(A57="","",COUNTIF('Registro de trabajos'!D:D,B57))</f>
        <v/>
      </c>
      <c r="L57" t="str">
        <f>IF(A57="","",SUMIF('Registro de trabajos'!D:D,B57,'Registro de trabajos'!G:G))</f>
        <v/>
      </c>
      <c r="M57" t="str">
        <f t="shared" si="5"/>
        <v/>
      </c>
    </row>
    <row r="58" spans="1:13" x14ac:dyDescent="0.25">
      <c r="A58" t="str">
        <f>IF('Control de rollos'!D56&lt;&gt;"","B","")</f>
        <v/>
      </c>
      <c r="B58" t="str">
        <f>IF(A58="","",A58&amp;"-"&amp;TEXT(COUNTIF($A$2:A58,A58),"000"))</f>
        <v/>
      </c>
      <c r="C58" t="str">
        <f>IF(A58="","",D56)</f>
        <v/>
      </c>
      <c r="E58" t="str">
        <f>IF(A58="","",Configuración!B3)</f>
        <v/>
      </c>
      <c r="F58" t="str">
        <f>IF(A58="","",SUMIF('Registro de trabajos'!F:F,B58,'Registro de trabajos'!G:G))</f>
        <v/>
      </c>
      <c r="G58" t="str">
        <f t="shared" si="3"/>
        <v/>
      </c>
      <c r="H58" t="str">
        <f>IF(A58="","",0)</f>
        <v/>
      </c>
      <c r="I58" t="str">
        <f>IF(A58="","",0)</f>
        <v/>
      </c>
      <c r="J58" t="str">
        <f t="shared" si="4"/>
        <v/>
      </c>
      <c r="K58" t="str">
        <f>IF(A58="","",COUNTIF('Registro de trabajos'!F:F,B58))</f>
        <v/>
      </c>
      <c r="L58" t="str">
        <f>IF(A58="","",F58)</f>
        <v/>
      </c>
      <c r="M58" t="str">
        <f t="shared" si="5"/>
        <v/>
      </c>
    </row>
    <row r="59" spans="1:13" x14ac:dyDescent="0.25">
      <c r="A59" t="str">
        <f>IF('Control de rollos'!D56&lt;&gt;"","A","")</f>
        <v/>
      </c>
      <c r="B59" t="str">
        <f>IF(A59="","",A59&amp;"-"&amp;TEXT(COUNTIF($A$2:A59,A59),"000"))</f>
        <v/>
      </c>
      <c r="C59" t="str">
        <f>IF(A59="","",D56)</f>
        <v/>
      </c>
      <c r="E59" t="str">
        <f>IF(A59="","",Configuración!B3)</f>
        <v/>
      </c>
      <c r="F59" t="str">
        <f>IF(A59="","",SUMIF('Registro de trabajos'!D:D,B59,'Registro de trabajos'!E:E))</f>
        <v/>
      </c>
      <c r="G59" t="str">
        <f t="shared" si="3"/>
        <v/>
      </c>
      <c r="H59" t="str">
        <f>IF(A59="","",SUMIF('Registro de trabajos'!D:D,B59,'Registro de trabajos'!H:H))</f>
        <v/>
      </c>
      <c r="I59" t="str">
        <f>IF(A59="","",Configuración!B4)</f>
        <v/>
      </c>
      <c r="J59" t="str">
        <f t="shared" si="4"/>
        <v/>
      </c>
      <c r="K59" t="str">
        <f>IF(A59="","",COUNTIF('Registro de trabajos'!D:D,B59))</f>
        <v/>
      </c>
      <c r="L59" t="str">
        <f>IF(A59="","",SUMIF('Registro de trabajos'!D:D,B59,'Registro de trabajos'!G:G))</f>
        <v/>
      </c>
      <c r="M59" t="str">
        <f t="shared" si="5"/>
        <v/>
      </c>
    </row>
    <row r="60" spans="1:13" x14ac:dyDescent="0.25">
      <c r="A60" t="str">
        <f>IF('Control de rollos'!D58&lt;&gt;"","B","")</f>
        <v/>
      </c>
      <c r="B60" t="str">
        <f>IF(A60="","",A60&amp;"-"&amp;TEXT(COUNTIF($A$2:A60,A60),"000"))</f>
        <v/>
      </c>
      <c r="C60" t="str">
        <f>IF(A60="","",D58)</f>
        <v/>
      </c>
      <c r="E60" t="str">
        <f>IF(A60="","",Configuración!B3)</f>
        <v/>
      </c>
      <c r="F60" t="str">
        <f>IF(A60="","",SUMIF('Registro de trabajos'!F:F,B60,'Registro de trabajos'!G:G))</f>
        <v/>
      </c>
      <c r="G60" t="str">
        <f t="shared" si="3"/>
        <v/>
      </c>
      <c r="H60" t="str">
        <f>IF(A60="","",0)</f>
        <v/>
      </c>
      <c r="I60" t="str">
        <f>IF(A60="","",0)</f>
        <v/>
      </c>
      <c r="J60" t="str">
        <f t="shared" si="4"/>
        <v/>
      </c>
      <c r="K60" t="str">
        <f>IF(A60="","",COUNTIF('Registro de trabajos'!F:F,B60))</f>
        <v/>
      </c>
      <c r="L60" t="str">
        <f>IF(A60="","",F60)</f>
        <v/>
      </c>
      <c r="M60" t="str">
        <f t="shared" si="5"/>
        <v/>
      </c>
    </row>
    <row r="61" spans="1:13" x14ac:dyDescent="0.25">
      <c r="A61" t="str">
        <f>IF('Control de rollos'!D58&lt;&gt;"","A","")</f>
        <v/>
      </c>
      <c r="B61" t="str">
        <f>IF(A61="","",A61&amp;"-"&amp;TEXT(COUNTIF($A$2:A61,A61),"000"))</f>
        <v/>
      </c>
      <c r="C61" t="str">
        <f>IF(A61="","",D58)</f>
        <v/>
      </c>
      <c r="E61" t="str">
        <f>IF(A61="","",Configuración!B3)</f>
        <v/>
      </c>
      <c r="F61" t="str">
        <f>IF(A61="","",SUMIF('Registro de trabajos'!D:D,B61,'Registro de trabajos'!E:E))</f>
        <v/>
      </c>
      <c r="G61" t="str">
        <f t="shared" si="3"/>
        <v/>
      </c>
      <c r="H61" t="str">
        <f>IF(A61="","",SUMIF('Registro de trabajos'!D:D,B61,'Registro de trabajos'!H:H))</f>
        <v/>
      </c>
      <c r="I61" t="str">
        <f>IF(A61="","",Configuración!B4)</f>
        <v/>
      </c>
      <c r="J61" t="str">
        <f t="shared" si="4"/>
        <v/>
      </c>
      <c r="K61" t="str">
        <f>IF(A61="","",COUNTIF('Registro de trabajos'!D:D,B61))</f>
        <v/>
      </c>
      <c r="L61" t="str">
        <f>IF(A61="","",SUMIF('Registro de trabajos'!D:D,B61,'Registro de trabajos'!G:G))</f>
        <v/>
      </c>
      <c r="M61" t="str">
        <f t="shared" si="5"/>
        <v/>
      </c>
    </row>
    <row r="62" spans="1:13" x14ac:dyDescent="0.25">
      <c r="A62" t="str">
        <f>IF('Control de rollos'!D60&lt;&gt;"","B","")</f>
        <v/>
      </c>
      <c r="B62" t="str">
        <f>IF(A62="","",A62&amp;"-"&amp;TEXT(COUNTIF($A$2:A62,A62),"000"))</f>
        <v/>
      </c>
      <c r="C62" t="str">
        <f>IF(A62="","",D60)</f>
        <v/>
      </c>
      <c r="E62" t="str">
        <f>IF(A62="","",Configuración!B3)</f>
        <v/>
      </c>
      <c r="F62" t="str">
        <f>IF(A62="","",SUMIF('Registro de trabajos'!F:F,B62,'Registro de trabajos'!G:G))</f>
        <v/>
      </c>
      <c r="G62" t="str">
        <f t="shared" si="3"/>
        <v/>
      </c>
      <c r="H62" t="str">
        <f>IF(A62="","",0)</f>
        <v/>
      </c>
      <c r="I62" t="str">
        <f>IF(A62="","",0)</f>
        <v/>
      </c>
      <c r="J62" t="str">
        <f t="shared" si="4"/>
        <v/>
      </c>
      <c r="K62" t="str">
        <f>IF(A62="","",COUNTIF('Registro de trabajos'!F:F,B62))</f>
        <v/>
      </c>
      <c r="L62" t="str">
        <f>IF(A62="","",F62)</f>
        <v/>
      </c>
      <c r="M62" t="str">
        <f t="shared" si="5"/>
        <v/>
      </c>
    </row>
    <row r="63" spans="1:13" x14ac:dyDescent="0.25">
      <c r="A63" t="str">
        <f>IF('Control de rollos'!D60&lt;&gt;"","A","")</f>
        <v/>
      </c>
      <c r="B63" t="str">
        <f>IF(A63="","",A63&amp;"-"&amp;TEXT(COUNTIF($A$2:A63,A63),"000"))</f>
        <v/>
      </c>
      <c r="C63" t="str">
        <f>IF(A63="","",D60)</f>
        <v/>
      </c>
      <c r="E63" t="str">
        <f>IF(A63="","",Configuración!B3)</f>
        <v/>
      </c>
      <c r="F63" t="str">
        <f>IF(A63="","",SUMIF('Registro de trabajos'!D:D,B63,'Registro de trabajos'!E:E))</f>
        <v/>
      </c>
      <c r="G63" t="str">
        <f t="shared" si="3"/>
        <v/>
      </c>
      <c r="H63" t="str">
        <f>IF(A63="","",SUMIF('Registro de trabajos'!D:D,B63,'Registro de trabajos'!H:H))</f>
        <v/>
      </c>
      <c r="I63" t="str">
        <f>IF(A63="","",Configuración!B4)</f>
        <v/>
      </c>
      <c r="J63" t="str">
        <f t="shared" si="4"/>
        <v/>
      </c>
      <c r="K63" t="str">
        <f>IF(A63="","",COUNTIF('Registro de trabajos'!D:D,B63))</f>
        <v/>
      </c>
      <c r="L63" t="str">
        <f>IF(A63="","",SUMIF('Registro de trabajos'!D:D,B63,'Registro de trabajos'!G:G))</f>
        <v/>
      </c>
      <c r="M63" t="str">
        <f t="shared" si="5"/>
        <v/>
      </c>
    </row>
    <row r="64" spans="1:13" x14ac:dyDescent="0.25">
      <c r="A64" t="str">
        <f>IF('Control de rollos'!D62&lt;&gt;"","B","")</f>
        <v/>
      </c>
      <c r="B64" t="str">
        <f>IF(A64="","",A64&amp;"-"&amp;TEXT(COUNTIF($A$2:A64,A64),"000"))</f>
        <v/>
      </c>
      <c r="C64" t="str">
        <f>IF(A64="","",D62)</f>
        <v/>
      </c>
      <c r="E64" t="str">
        <f>IF(A64="","",Configuración!B3)</f>
        <v/>
      </c>
      <c r="F64" t="str">
        <f>IF(A64="","",SUMIF('Registro de trabajos'!F:F,B64,'Registro de trabajos'!G:G))</f>
        <v/>
      </c>
      <c r="G64" t="str">
        <f t="shared" si="3"/>
        <v/>
      </c>
      <c r="H64" t="str">
        <f>IF(A64="","",0)</f>
        <v/>
      </c>
      <c r="I64" t="str">
        <f>IF(A64="","",0)</f>
        <v/>
      </c>
      <c r="J64" t="str">
        <f t="shared" si="4"/>
        <v/>
      </c>
      <c r="K64" t="str">
        <f>IF(A64="","",COUNTIF('Registro de trabajos'!F:F,B64))</f>
        <v/>
      </c>
      <c r="L64" t="str">
        <f>IF(A64="","",F64)</f>
        <v/>
      </c>
      <c r="M64" t="str">
        <f t="shared" si="5"/>
        <v/>
      </c>
    </row>
    <row r="65" spans="1:13" x14ac:dyDescent="0.25">
      <c r="A65" t="str">
        <f>IF('Control de rollos'!D62&lt;&gt;"","A","")</f>
        <v/>
      </c>
      <c r="B65" t="str">
        <f>IF(A65="","",A65&amp;"-"&amp;TEXT(COUNTIF($A$2:A65,A65),"000"))</f>
        <v/>
      </c>
      <c r="C65" t="str">
        <f>IF(A65="","",D62)</f>
        <v/>
      </c>
      <c r="E65" t="str">
        <f>IF(A65="","",Configuración!B3)</f>
        <v/>
      </c>
      <c r="F65" t="str">
        <f>IF(A65="","",SUMIF('Registro de trabajos'!D:D,B65,'Registro de trabajos'!E:E))</f>
        <v/>
      </c>
      <c r="G65" t="str">
        <f t="shared" si="3"/>
        <v/>
      </c>
      <c r="H65" t="str">
        <f>IF(A65="","",SUMIF('Registro de trabajos'!D:D,B65,'Registro de trabajos'!H:H))</f>
        <v/>
      </c>
      <c r="I65" t="str">
        <f>IF(A65="","",Configuración!B4)</f>
        <v/>
      </c>
      <c r="J65" t="str">
        <f t="shared" si="4"/>
        <v/>
      </c>
      <c r="K65" t="str">
        <f>IF(A65="","",COUNTIF('Registro de trabajos'!D:D,B65))</f>
        <v/>
      </c>
      <c r="L65" t="str">
        <f>IF(A65="","",SUMIF('Registro de trabajos'!D:D,B65,'Registro de trabajos'!G:G))</f>
        <v/>
      </c>
      <c r="M65" t="str">
        <f t="shared" si="5"/>
        <v/>
      </c>
    </row>
    <row r="66" spans="1:13" x14ac:dyDescent="0.25">
      <c r="A66" t="str">
        <f>IF('Control de rollos'!D64&lt;&gt;"","B","")</f>
        <v/>
      </c>
      <c r="B66" t="str">
        <f>IF(A66="","",A66&amp;"-"&amp;TEXT(COUNTIF($A$2:A66,A66),"000"))</f>
        <v/>
      </c>
      <c r="C66" t="str">
        <f>IF(A66="","",D64)</f>
        <v/>
      </c>
      <c r="E66" t="str">
        <f>IF(A66="","",Configuración!B3)</f>
        <v/>
      </c>
      <c r="F66" t="str">
        <f>IF(A66="","",SUMIF('Registro de trabajos'!F:F,B66,'Registro de trabajos'!G:G))</f>
        <v/>
      </c>
      <c r="G66" t="str">
        <f t="shared" si="3"/>
        <v/>
      </c>
      <c r="H66" t="str">
        <f>IF(A66="","",0)</f>
        <v/>
      </c>
      <c r="I66" t="str">
        <f>IF(A66="","",0)</f>
        <v/>
      </c>
      <c r="J66" t="str">
        <f t="shared" si="4"/>
        <v/>
      </c>
      <c r="K66" t="str">
        <f>IF(A66="","",COUNTIF('Registro de trabajos'!F:F,B66))</f>
        <v/>
      </c>
      <c r="L66" t="str">
        <f>IF(A66="","",F66)</f>
        <v/>
      </c>
      <c r="M66" t="str">
        <f t="shared" si="5"/>
        <v/>
      </c>
    </row>
    <row r="67" spans="1:13" x14ac:dyDescent="0.25">
      <c r="A67" t="str">
        <f>IF('Control de rollos'!D64&lt;&gt;"","A","")</f>
        <v/>
      </c>
      <c r="B67" t="str">
        <f>IF(A67="","",A67&amp;"-"&amp;TEXT(COUNTIF($A$2:A67,A67),"000"))</f>
        <v/>
      </c>
      <c r="C67" t="str">
        <f>IF(A67="","",D64)</f>
        <v/>
      </c>
      <c r="E67" t="str">
        <f>IF(A67="","",Configuración!B3)</f>
        <v/>
      </c>
      <c r="F67" t="str">
        <f>IF(A67="","",SUMIF('Registro de trabajos'!D:D,B67,'Registro de trabajos'!E:E))</f>
        <v/>
      </c>
      <c r="G67" t="str">
        <f t="shared" si="3"/>
        <v/>
      </c>
      <c r="H67" t="str">
        <f>IF(A67="","",SUMIF('Registro de trabajos'!D:D,B67,'Registro de trabajos'!H:H))</f>
        <v/>
      </c>
      <c r="I67" t="str">
        <f>IF(A67="","",Configuración!B4)</f>
        <v/>
      </c>
      <c r="J67" t="str">
        <f t="shared" si="4"/>
        <v/>
      </c>
      <c r="K67" t="str">
        <f>IF(A67="","",COUNTIF('Registro de trabajos'!D:D,B67))</f>
        <v/>
      </c>
      <c r="L67" t="str">
        <f>IF(A67="","",SUMIF('Registro de trabajos'!D:D,B67,'Registro de trabajos'!G:G))</f>
        <v/>
      </c>
      <c r="M67" t="str">
        <f t="shared" si="5"/>
        <v/>
      </c>
    </row>
    <row r="68" spans="1:13" x14ac:dyDescent="0.25">
      <c r="A68" t="str">
        <f>IF('Control de rollos'!D66&lt;&gt;"","B","")</f>
        <v/>
      </c>
      <c r="B68" t="str">
        <f>IF(A68="","",A68&amp;"-"&amp;TEXT(COUNTIF($A$2:A68,A68),"000"))</f>
        <v/>
      </c>
      <c r="C68" t="str">
        <f>IF(A68="","",D66)</f>
        <v/>
      </c>
      <c r="E68" t="str">
        <f>IF(A68="","",Configuración!B3)</f>
        <v/>
      </c>
      <c r="F68" t="str">
        <f>IF(A68="","",SUMIF('Registro de trabajos'!F:F,B68,'Registro de trabajos'!G:G))</f>
        <v/>
      </c>
      <c r="G68" t="str">
        <f t="shared" si="3"/>
        <v/>
      </c>
      <c r="H68" t="str">
        <f>IF(A68="","",0)</f>
        <v/>
      </c>
      <c r="I68" t="str">
        <f>IF(A68="","",0)</f>
        <v/>
      </c>
      <c r="J68" t="str">
        <f t="shared" si="4"/>
        <v/>
      </c>
      <c r="K68" t="str">
        <f>IF(A68="","",COUNTIF('Registro de trabajos'!F:F,B68))</f>
        <v/>
      </c>
      <c r="L68" t="str">
        <f>IF(A68="","",F68)</f>
        <v/>
      </c>
      <c r="M68" t="str">
        <f t="shared" si="5"/>
        <v/>
      </c>
    </row>
    <row r="69" spans="1:13" x14ac:dyDescent="0.25">
      <c r="A69" t="str">
        <f>IF('Control de rollos'!D66&lt;&gt;"","A","")</f>
        <v/>
      </c>
      <c r="B69" t="str">
        <f>IF(A69="","",A69&amp;"-"&amp;TEXT(COUNTIF($A$2:A69,A69),"000"))</f>
        <v/>
      </c>
      <c r="C69" t="str">
        <f>IF(A69="","",D66)</f>
        <v/>
      </c>
      <c r="E69" t="str">
        <f>IF(A69="","",Configuración!B3)</f>
        <v/>
      </c>
      <c r="F69" t="str">
        <f>IF(A69="","",SUMIF('Registro de trabajos'!D:D,B69,'Registro de trabajos'!E:E))</f>
        <v/>
      </c>
      <c r="G69" t="str">
        <f t="shared" ref="G69:G100" si="6">IF(A69="","",MAX(0,E69-F69))</f>
        <v/>
      </c>
      <c r="H69" t="str">
        <f>IF(A69="","",SUMIF('Registro de trabajos'!D:D,B69,'Registro de trabajos'!H:H))</f>
        <v/>
      </c>
      <c r="I69" t="str">
        <f>IF(A69="","",Configuración!B4)</f>
        <v/>
      </c>
      <c r="J69" t="str">
        <f t="shared" ref="J69:J100" si="7">IF(A69="","",H69-I69)</f>
        <v/>
      </c>
      <c r="K69" t="str">
        <f>IF(A69="","",COUNTIF('Registro de trabajos'!D:D,B69))</f>
        <v/>
      </c>
      <c r="L69" t="str">
        <f>IF(A69="","",SUMIF('Registro de trabajos'!D:D,B69,'Registro de trabajos'!G:G))</f>
        <v/>
      </c>
      <c r="M69" t="str">
        <f t="shared" ref="M69:M103" si="8">IF(A69="","",IF(D69="","EN USO","FINALIZADO"))</f>
        <v/>
      </c>
    </row>
    <row r="70" spans="1:13" x14ac:dyDescent="0.25">
      <c r="A70" t="str">
        <f>IF('Control de rollos'!D68&lt;&gt;"","B","")</f>
        <v/>
      </c>
      <c r="B70" t="str">
        <f>IF(A70="","",A70&amp;"-"&amp;TEXT(COUNTIF($A$2:A70,A70),"000"))</f>
        <v/>
      </c>
      <c r="C70" t="str">
        <f>IF(A70="","",D68)</f>
        <v/>
      </c>
      <c r="E70" t="str">
        <f>IF(A70="","",Configuración!B3)</f>
        <v/>
      </c>
      <c r="F70" t="str">
        <f>IF(A70="","",SUMIF('Registro de trabajos'!F:F,B70,'Registro de trabajos'!G:G))</f>
        <v/>
      </c>
      <c r="G70" t="str">
        <f t="shared" si="6"/>
        <v/>
      </c>
      <c r="H70" t="str">
        <f>IF(A70="","",0)</f>
        <v/>
      </c>
      <c r="I70" t="str">
        <f>IF(A70="","",0)</f>
        <v/>
      </c>
      <c r="J70" t="str">
        <f t="shared" si="7"/>
        <v/>
      </c>
      <c r="K70" t="str">
        <f>IF(A70="","",COUNTIF('Registro de trabajos'!F:F,B70))</f>
        <v/>
      </c>
      <c r="L70" t="str">
        <f>IF(A70="","",F70)</f>
        <v/>
      </c>
      <c r="M70" t="str">
        <f t="shared" si="8"/>
        <v/>
      </c>
    </row>
    <row r="71" spans="1:13" x14ac:dyDescent="0.25">
      <c r="A71" t="str">
        <f>IF('Control de rollos'!D68&lt;&gt;"","A","")</f>
        <v/>
      </c>
      <c r="B71" t="str">
        <f>IF(A71="","",A71&amp;"-"&amp;TEXT(COUNTIF($A$2:A71,A71),"000"))</f>
        <v/>
      </c>
      <c r="C71" t="str">
        <f>IF(A71="","",D68)</f>
        <v/>
      </c>
      <c r="E71" t="str">
        <f>IF(A71="","",Configuración!B3)</f>
        <v/>
      </c>
      <c r="F71" t="str">
        <f>IF(A71="","",SUMIF('Registro de trabajos'!D:D,B71,'Registro de trabajos'!E:E))</f>
        <v/>
      </c>
      <c r="G71" t="str">
        <f t="shared" si="6"/>
        <v/>
      </c>
      <c r="H71" t="str">
        <f>IF(A71="","",SUMIF('Registro de trabajos'!D:D,B71,'Registro de trabajos'!H:H))</f>
        <v/>
      </c>
      <c r="I71" t="str">
        <f>IF(A71="","",Configuración!B4)</f>
        <v/>
      </c>
      <c r="J71" t="str">
        <f t="shared" si="7"/>
        <v/>
      </c>
      <c r="K71" t="str">
        <f>IF(A71="","",COUNTIF('Registro de trabajos'!D:D,B71))</f>
        <v/>
      </c>
      <c r="L71" t="str">
        <f>IF(A71="","",SUMIF('Registro de trabajos'!D:D,B71,'Registro de trabajos'!G:G))</f>
        <v/>
      </c>
      <c r="M71" t="str">
        <f t="shared" si="8"/>
        <v/>
      </c>
    </row>
    <row r="72" spans="1:13" x14ac:dyDescent="0.25">
      <c r="A72" t="str">
        <f>IF('Control de rollos'!D70&lt;&gt;"","B","")</f>
        <v/>
      </c>
      <c r="B72" t="str">
        <f>IF(A72="","",A72&amp;"-"&amp;TEXT(COUNTIF($A$2:A72,A72),"000"))</f>
        <v/>
      </c>
      <c r="C72" t="str">
        <f>IF(A72="","",D70)</f>
        <v/>
      </c>
      <c r="E72" t="str">
        <f>IF(A72="","",Configuración!B3)</f>
        <v/>
      </c>
      <c r="F72" t="str">
        <f>IF(A72="","",SUMIF('Registro de trabajos'!F:F,B72,'Registro de trabajos'!G:G))</f>
        <v/>
      </c>
      <c r="G72" t="str">
        <f t="shared" si="6"/>
        <v/>
      </c>
      <c r="H72" t="str">
        <f>IF(A72="","",0)</f>
        <v/>
      </c>
      <c r="I72" t="str">
        <f>IF(A72="","",0)</f>
        <v/>
      </c>
      <c r="J72" t="str">
        <f t="shared" si="7"/>
        <v/>
      </c>
      <c r="K72" t="str">
        <f>IF(A72="","",COUNTIF('Registro de trabajos'!F:F,B72))</f>
        <v/>
      </c>
      <c r="L72" t="str">
        <f>IF(A72="","",F72)</f>
        <v/>
      </c>
      <c r="M72" t="str">
        <f t="shared" si="8"/>
        <v/>
      </c>
    </row>
    <row r="73" spans="1:13" x14ac:dyDescent="0.25">
      <c r="A73" t="str">
        <f>IF('Control de rollos'!D70&lt;&gt;"","A","")</f>
        <v/>
      </c>
      <c r="B73" t="str">
        <f>IF(A73="","",A73&amp;"-"&amp;TEXT(COUNTIF($A$2:A73,A73),"000"))</f>
        <v/>
      </c>
      <c r="C73" t="str">
        <f>IF(A73="","",D70)</f>
        <v/>
      </c>
      <c r="E73" t="str">
        <f>IF(A73="","",Configuración!B3)</f>
        <v/>
      </c>
      <c r="F73" t="str">
        <f>IF(A73="","",SUMIF('Registro de trabajos'!D:D,B73,'Registro de trabajos'!E:E))</f>
        <v/>
      </c>
      <c r="G73" t="str">
        <f t="shared" si="6"/>
        <v/>
      </c>
      <c r="H73" t="str">
        <f>IF(A73="","",SUMIF('Registro de trabajos'!D:D,B73,'Registro de trabajos'!H:H))</f>
        <v/>
      </c>
      <c r="I73" t="str">
        <f>IF(A73="","",Configuración!B4)</f>
        <v/>
      </c>
      <c r="J73" t="str">
        <f t="shared" si="7"/>
        <v/>
      </c>
      <c r="K73" t="str">
        <f>IF(A73="","",COUNTIF('Registro de trabajos'!D:D,B73))</f>
        <v/>
      </c>
      <c r="L73" t="str">
        <f>IF(A73="","",SUMIF('Registro de trabajos'!D:D,B73,'Registro de trabajos'!G:G))</f>
        <v/>
      </c>
      <c r="M73" t="str">
        <f t="shared" si="8"/>
        <v/>
      </c>
    </row>
    <row r="74" spans="1:13" x14ac:dyDescent="0.25">
      <c r="A74" t="str">
        <f>IF('Control de rollos'!D72&lt;&gt;"","B","")</f>
        <v/>
      </c>
      <c r="B74" t="str">
        <f>IF(A74="","",A74&amp;"-"&amp;TEXT(COUNTIF($A$2:A74,A74),"000"))</f>
        <v/>
      </c>
      <c r="C74" t="str">
        <f>IF(A74="","",D72)</f>
        <v/>
      </c>
      <c r="E74" t="str">
        <f>IF(A74="","",Configuración!B3)</f>
        <v/>
      </c>
      <c r="F74" t="str">
        <f>IF(A74="","",SUMIF('Registro de trabajos'!F:F,B74,'Registro de trabajos'!G:G))</f>
        <v/>
      </c>
      <c r="G74" t="str">
        <f t="shared" si="6"/>
        <v/>
      </c>
      <c r="H74" t="str">
        <f>IF(A74="","",0)</f>
        <v/>
      </c>
      <c r="I74" t="str">
        <f>IF(A74="","",0)</f>
        <v/>
      </c>
      <c r="J74" t="str">
        <f t="shared" si="7"/>
        <v/>
      </c>
      <c r="K74" t="str">
        <f>IF(A74="","",COUNTIF('Registro de trabajos'!F:F,B74))</f>
        <v/>
      </c>
      <c r="L74" t="str">
        <f>IF(A74="","",F74)</f>
        <v/>
      </c>
      <c r="M74" t="str">
        <f t="shared" si="8"/>
        <v/>
      </c>
    </row>
    <row r="75" spans="1:13" x14ac:dyDescent="0.25">
      <c r="A75" t="str">
        <f>IF('Control de rollos'!D72&lt;&gt;"","A","")</f>
        <v/>
      </c>
      <c r="B75" t="str">
        <f>IF(A75="","",A75&amp;"-"&amp;TEXT(COUNTIF($A$2:A75,A75),"000"))</f>
        <v/>
      </c>
      <c r="C75" t="str">
        <f>IF(A75="","",D72)</f>
        <v/>
      </c>
      <c r="E75" t="str">
        <f>IF(A75="","",Configuración!B3)</f>
        <v/>
      </c>
      <c r="F75" t="str">
        <f>IF(A75="","",SUMIF('Registro de trabajos'!D:D,B75,'Registro de trabajos'!E:E))</f>
        <v/>
      </c>
      <c r="G75" t="str">
        <f t="shared" si="6"/>
        <v/>
      </c>
      <c r="H75" t="str">
        <f>IF(A75="","",SUMIF('Registro de trabajos'!D:D,B75,'Registro de trabajos'!H:H))</f>
        <v/>
      </c>
      <c r="I75" t="str">
        <f>IF(A75="","",Configuración!B4)</f>
        <v/>
      </c>
      <c r="J75" t="str">
        <f t="shared" si="7"/>
        <v/>
      </c>
      <c r="K75" t="str">
        <f>IF(A75="","",COUNTIF('Registro de trabajos'!D:D,B75))</f>
        <v/>
      </c>
      <c r="L75" t="str">
        <f>IF(A75="","",SUMIF('Registro de trabajos'!D:D,B75,'Registro de trabajos'!G:G))</f>
        <v/>
      </c>
      <c r="M75" t="str">
        <f t="shared" si="8"/>
        <v/>
      </c>
    </row>
    <row r="76" spans="1:13" x14ac:dyDescent="0.25">
      <c r="A76" t="str">
        <f>IF('Control de rollos'!D74&lt;&gt;"","B","")</f>
        <v/>
      </c>
      <c r="B76" t="str">
        <f>IF(A76="","",A76&amp;"-"&amp;TEXT(COUNTIF($A$2:A76,A76),"000"))</f>
        <v/>
      </c>
      <c r="C76" t="str">
        <f>IF(A76="","",D74)</f>
        <v/>
      </c>
      <c r="E76" t="str">
        <f>IF(A76="","",Configuración!B3)</f>
        <v/>
      </c>
      <c r="F76" t="str">
        <f>IF(A76="","",SUMIF('Registro de trabajos'!F:F,B76,'Registro de trabajos'!G:G))</f>
        <v/>
      </c>
      <c r="G76" t="str">
        <f t="shared" si="6"/>
        <v/>
      </c>
      <c r="H76" t="str">
        <f>IF(A76="","",0)</f>
        <v/>
      </c>
      <c r="I76" t="str">
        <f>IF(A76="","",0)</f>
        <v/>
      </c>
      <c r="J76" t="str">
        <f t="shared" si="7"/>
        <v/>
      </c>
      <c r="K76" t="str">
        <f>IF(A76="","",COUNTIF('Registro de trabajos'!F:F,B76))</f>
        <v/>
      </c>
      <c r="L76" t="str">
        <f>IF(A76="","",F76)</f>
        <v/>
      </c>
      <c r="M76" t="str">
        <f t="shared" si="8"/>
        <v/>
      </c>
    </row>
    <row r="77" spans="1:13" x14ac:dyDescent="0.25">
      <c r="A77" t="str">
        <f>IF('Control de rollos'!D74&lt;&gt;"","A","")</f>
        <v/>
      </c>
      <c r="B77" t="str">
        <f>IF(A77="","",A77&amp;"-"&amp;TEXT(COUNTIF($A$2:A77,A77),"000"))</f>
        <v/>
      </c>
      <c r="C77" t="str">
        <f>IF(A77="","",D74)</f>
        <v/>
      </c>
      <c r="E77" t="str">
        <f>IF(A77="","",Configuración!B3)</f>
        <v/>
      </c>
      <c r="F77" t="str">
        <f>IF(A77="","",SUMIF('Registro de trabajos'!D:D,B77,'Registro de trabajos'!E:E))</f>
        <v/>
      </c>
      <c r="G77" t="str">
        <f t="shared" si="6"/>
        <v/>
      </c>
      <c r="H77" t="str">
        <f>IF(A77="","",SUMIF('Registro de trabajos'!D:D,B77,'Registro de trabajos'!H:H))</f>
        <v/>
      </c>
      <c r="I77" t="str">
        <f>IF(A77="","",Configuración!B4)</f>
        <v/>
      </c>
      <c r="J77" t="str">
        <f t="shared" si="7"/>
        <v/>
      </c>
      <c r="K77" t="str">
        <f>IF(A77="","",COUNTIF('Registro de trabajos'!D:D,B77))</f>
        <v/>
      </c>
      <c r="L77" t="str">
        <f>IF(A77="","",SUMIF('Registro de trabajos'!D:D,B77,'Registro de trabajos'!G:G))</f>
        <v/>
      </c>
      <c r="M77" t="str">
        <f t="shared" si="8"/>
        <v/>
      </c>
    </row>
    <row r="78" spans="1:13" x14ac:dyDescent="0.25">
      <c r="A78" t="str">
        <f>IF('Control de rollos'!D76&lt;&gt;"","B","")</f>
        <v/>
      </c>
      <c r="B78" t="str">
        <f>IF(A78="","",A78&amp;"-"&amp;TEXT(COUNTIF($A$2:A78,A78),"000"))</f>
        <v/>
      </c>
      <c r="C78" t="str">
        <f>IF(A78="","",D76)</f>
        <v/>
      </c>
      <c r="E78" t="str">
        <f>IF(A78="","",Configuración!B3)</f>
        <v/>
      </c>
      <c r="F78" t="str">
        <f>IF(A78="","",SUMIF('Registro de trabajos'!F:F,B78,'Registro de trabajos'!G:G))</f>
        <v/>
      </c>
      <c r="G78" t="str">
        <f t="shared" si="6"/>
        <v/>
      </c>
      <c r="H78" t="str">
        <f>IF(A78="","",0)</f>
        <v/>
      </c>
      <c r="I78" t="str">
        <f>IF(A78="","",0)</f>
        <v/>
      </c>
      <c r="J78" t="str">
        <f t="shared" si="7"/>
        <v/>
      </c>
      <c r="K78" t="str">
        <f>IF(A78="","",COUNTIF('Registro de trabajos'!F:F,B78))</f>
        <v/>
      </c>
      <c r="L78" t="str">
        <f>IF(A78="","",F78)</f>
        <v/>
      </c>
      <c r="M78" t="str">
        <f t="shared" si="8"/>
        <v/>
      </c>
    </row>
    <row r="79" spans="1:13" x14ac:dyDescent="0.25">
      <c r="A79" t="str">
        <f>IF('Control de rollos'!D76&lt;&gt;"","A","")</f>
        <v/>
      </c>
      <c r="B79" t="str">
        <f>IF(A79="","",A79&amp;"-"&amp;TEXT(COUNTIF($A$2:A79,A79),"000"))</f>
        <v/>
      </c>
      <c r="C79" t="str">
        <f>IF(A79="","",D76)</f>
        <v/>
      </c>
      <c r="E79" t="str">
        <f>IF(A79="","",Configuración!B3)</f>
        <v/>
      </c>
      <c r="F79" t="str">
        <f>IF(A79="","",SUMIF('Registro de trabajos'!D:D,B79,'Registro de trabajos'!E:E))</f>
        <v/>
      </c>
      <c r="G79" t="str">
        <f t="shared" si="6"/>
        <v/>
      </c>
      <c r="H79" t="str">
        <f>IF(A79="","",SUMIF('Registro de trabajos'!D:D,B79,'Registro de trabajos'!H:H))</f>
        <v/>
      </c>
      <c r="I79" t="str">
        <f>IF(A79="","",Configuración!B4)</f>
        <v/>
      </c>
      <c r="J79" t="str">
        <f t="shared" si="7"/>
        <v/>
      </c>
      <c r="K79" t="str">
        <f>IF(A79="","",COUNTIF('Registro de trabajos'!D:D,B79))</f>
        <v/>
      </c>
      <c r="L79" t="str">
        <f>IF(A79="","",SUMIF('Registro de trabajos'!D:D,B79,'Registro de trabajos'!G:G))</f>
        <v/>
      </c>
      <c r="M79" t="str">
        <f t="shared" si="8"/>
        <v/>
      </c>
    </row>
    <row r="80" spans="1:13" x14ac:dyDescent="0.25">
      <c r="A80" t="str">
        <f>IF('Control de rollos'!D78&lt;&gt;"","B","")</f>
        <v/>
      </c>
      <c r="B80" t="str">
        <f>IF(A80="","",A80&amp;"-"&amp;TEXT(COUNTIF($A$2:A80,A80),"000"))</f>
        <v/>
      </c>
      <c r="C80" t="str">
        <f>IF(A80="","",D78)</f>
        <v/>
      </c>
      <c r="E80" t="str">
        <f>IF(A80="","",Configuración!B3)</f>
        <v/>
      </c>
      <c r="F80" t="str">
        <f>IF(A80="","",SUMIF('Registro de trabajos'!F:F,B80,'Registro de trabajos'!G:G))</f>
        <v/>
      </c>
      <c r="G80" t="str">
        <f t="shared" si="6"/>
        <v/>
      </c>
      <c r="H80" t="str">
        <f>IF(A80="","",0)</f>
        <v/>
      </c>
      <c r="I80" t="str">
        <f>IF(A80="","",0)</f>
        <v/>
      </c>
      <c r="J80" t="str">
        <f t="shared" si="7"/>
        <v/>
      </c>
      <c r="K80" t="str">
        <f>IF(A80="","",COUNTIF('Registro de trabajos'!F:F,B80))</f>
        <v/>
      </c>
      <c r="L80" t="str">
        <f>IF(A80="","",F80)</f>
        <v/>
      </c>
      <c r="M80" t="str">
        <f t="shared" si="8"/>
        <v/>
      </c>
    </row>
    <row r="81" spans="1:13" x14ac:dyDescent="0.25">
      <c r="A81" t="str">
        <f>IF('Control de rollos'!D78&lt;&gt;"","A","")</f>
        <v/>
      </c>
      <c r="B81" t="str">
        <f>IF(A81="","",A81&amp;"-"&amp;TEXT(COUNTIF($A$2:A81,A81),"000"))</f>
        <v/>
      </c>
      <c r="C81" t="str">
        <f>IF(A81="","",D78)</f>
        <v/>
      </c>
      <c r="E81" t="str">
        <f>IF(A81="","",Configuración!B3)</f>
        <v/>
      </c>
      <c r="F81" t="str">
        <f>IF(A81="","",SUMIF('Registro de trabajos'!D:D,B81,'Registro de trabajos'!E:E))</f>
        <v/>
      </c>
      <c r="G81" t="str">
        <f t="shared" si="6"/>
        <v/>
      </c>
      <c r="H81" t="str">
        <f>IF(A81="","",SUMIF('Registro de trabajos'!D:D,B81,'Registro de trabajos'!H:H))</f>
        <v/>
      </c>
      <c r="I81" t="str">
        <f>IF(A81="","",Configuración!B4)</f>
        <v/>
      </c>
      <c r="J81" t="str">
        <f t="shared" si="7"/>
        <v/>
      </c>
      <c r="K81" t="str">
        <f>IF(A81="","",COUNTIF('Registro de trabajos'!D:D,B81))</f>
        <v/>
      </c>
      <c r="L81" t="str">
        <f>IF(A81="","",SUMIF('Registro de trabajos'!D:D,B81,'Registro de trabajos'!G:G))</f>
        <v/>
      </c>
      <c r="M81" t="str">
        <f t="shared" si="8"/>
        <v/>
      </c>
    </row>
    <row r="82" spans="1:13" x14ac:dyDescent="0.25">
      <c r="A82" t="str">
        <f>IF('Control de rollos'!D80&lt;&gt;"","B","")</f>
        <v/>
      </c>
      <c r="B82" t="str">
        <f>IF(A82="","",A82&amp;"-"&amp;TEXT(COUNTIF($A$2:A82,A82),"000"))</f>
        <v/>
      </c>
      <c r="C82" t="str">
        <f>IF(A82="","",D80)</f>
        <v/>
      </c>
      <c r="E82" t="str">
        <f>IF(A82="","",Configuración!B3)</f>
        <v/>
      </c>
      <c r="F82" t="str">
        <f>IF(A82="","",SUMIF('Registro de trabajos'!F:F,B82,'Registro de trabajos'!G:G))</f>
        <v/>
      </c>
      <c r="G82" t="str">
        <f t="shared" si="6"/>
        <v/>
      </c>
      <c r="H82" t="str">
        <f>IF(A82="","",0)</f>
        <v/>
      </c>
      <c r="I82" t="str">
        <f>IF(A82="","",0)</f>
        <v/>
      </c>
      <c r="J82" t="str">
        <f t="shared" si="7"/>
        <v/>
      </c>
      <c r="K82" t="str">
        <f>IF(A82="","",COUNTIF('Registro de trabajos'!F:F,B82))</f>
        <v/>
      </c>
      <c r="L82" t="str">
        <f>IF(A82="","",F82)</f>
        <v/>
      </c>
      <c r="M82" t="str">
        <f t="shared" si="8"/>
        <v/>
      </c>
    </row>
    <row r="83" spans="1:13" x14ac:dyDescent="0.25">
      <c r="A83" t="str">
        <f>IF('Control de rollos'!D80&lt;&gt;"","A","")</f>
        <v/>
      </c>
      <c r="B83" t="str">
        <f>IF(A83="","",A83&amp;"-"&amp;TEXT(COUNTIF($A$2:A83,A83),"000"))</f>
        <v/>
      </c>
      <c r="C83" t="str">
        <f>IF(A83="","",D80)</f>
        <v/>
      </c>
      <c r="E83" t="str">
        <f>IF(A83="","",Configuración!B3)</f>
        <v/>
      </c>
      <c r="F83" t="str">
        <f>IF(A83="","",SUMIF('Registro de trabajos'!D:D,B83,'Registro de trabajos'!E:E))</f>
        <v/>
      </c>
      <c r="G83" t="str">
        <f t="shared" si="6"/>
        <v/>
      </c>
      <c r="H83" t="str">
        <f>IF(A83="","",SUMIF('Registro de trabajos'!D:D,B83,'Registro de trabajos'!H:H))</f>
        <v/>
      </c>
      <c r="I83" t="str">
        <f>IF(A83="","",Configuración!B4)</f>
        <v/>
      </c>
      <c r="J83" t="str">
        <f t="shared" si="7"/>
        <v/>
      </c>
      <c r="K83" t="str">
        <f>IF(A83="","",COUNTIF('Registro de trabajos'!D:D,B83))</f>
        <v/>
      </c>
      <c r="L83" t="str">
        <f>IF(A83="","",SUMIF('Registro de trabajos'!D:D,B83,'Registro de trabajos'!G:G))</f>
        <v/>
      </c>
      <c r="M83" t="str">
        <f t="shared" si="8"/>
        <v/>
      </c>
    </row>
    <row r="84" spans="1:13" x14ac:dyDescent="0.25">
      <c r="A84" t="str">
        <f>IF('Control de rollos'!D82&lt;&gt;"","B","")</f>
        <v/>
      </c>
      <c r="B84" t="str">
        <f>IF(A84="","",A84&amp;"-"&amp;TEXT(COUNTIF($A$2:A84,A84),"000"))</f>
        <v/>
      </c>
      <c r="C84" t="str">
        <f>IF(A84="","",D82)</f>
        <v/>
      </c>
      <c r="E84" t="str">
        <f>IF(A84="","",Configuración!B3)</f>
        <v/>
      </c>
      <c r="F84" t="str">
        <f>IF(A84="","",SUMIF('Registro de trabajos'!F:F,B84,'Registro de trabajos'!G:G))</f>
        <v/>
      </c>
      <c r="G84" t="str">
        <f t="shared" si="6"/>
        <v/>
      </c>
      <c r="H84" t="str">
        <f>IF(A84="","",0)</f>
        <v/>
      </c>
      <c r="I84" t="str">
        <f>IF(A84="","",0)</f>
        <v/>
      </c>
      <c r="J84" t="str">
        <f t="shared" si="7"/>
        <v/>
      </c>
      <c r="K84" t="str">
        <f>IF(A84="","",COUNTIF('Registro de trabajos'!F:F,B84))</f>
        <v/>
      </c>
      <c r="L84" t="str">
        <f>IF(A84="","",F84)</f>
        <v/>
      </c>
      <c r="M84" t="str">
        <f t="shared" si="8"/>
        <v/>
      </c>
    </row>
    <row r="85" spans="1:13" x14ac:dyDescent="0.25">
      <c r="A85" t="str">
        <f>IF('Control de rollos'!D82&lt;&gt;"","A","")</f>
        <v/>
      </c>
      <c r="B85" t="str">
        <f>IF(A85="","",A85&amp;"-"&amp;TEXT(COUNTIF($A$2:A85,A85),"000"))</f>
        <v/>
      </c>
      <c r="C85" t="str">
        <f>IF(A85="","",D82)</f>
        <v/>
      </c>
      <c r="E85" t="str">
        <f>IF(A85="","",Configuración!B3)</f>
        <v/>
      </c>
      <c r="F85" t="str">
        <f>IF(A85="","",SUMIF('Registro de trabajos'!D:D,B85,'Registro de trabajos'!E:E))</f>
        <v/>
      </c>
      <c r="G85" t="str">
        <f t="shared" si="6"/>
        <v/>
      </c>
      <c r="H85" t="str">
        <f>IF(A85="","",SUMIF('Registro de trabajos'!D:D,B85,'Registro de trabajos'!H:H))</f>
        <v/>
      </c>
      <c r="I85" t="str">
        <f>IF(A85="","",Configuración!B4)</f>
        <v/>
      </c>
      <c r="J85" t="str">
        <f t="shared" si="7"/>
        <v/>
      </c>
      <c r="K85" t="str">
        <f>IF(A85="","",COUNTIF('Registro de trabajos'!D:D,B85))</f>
        <v/>
      </c>
      <c r="L85" t="str">
        <f>IF(A85="","",SUMIF('Registro de trabajos'!D:D,B85,'Registro de trabajos'!G:G))</f>
        <v/>
      </c>
      <c r="M85" t="str">
        <f t="shared" si="8"/>
        <v/>
      </c>
    </row>
    <row r="86" spans="1:13" x14ac:dyDescent="0.25">
      <c r="A86" t="str">
        <f>IF('Control de rollos'!D84&lt;&gt;"","B","")</f>
        <v/>
      </c>
      <c r="B86" t="str">
        <f>IF(A86="","",A86&amp;"-"&amp;TEXT(COUNTIF($A$2:A86,A86),"000"))</f>
        <v/>
      </c>
      <c r="C86" t="str">
        <f>IF(A86="","",D84)</f>
        <v/>
      </c>
      <c r="E86" t="str">
        <f>IF(A86="","",Configuración!B3)</f>
        <v/>
      </c>
      <c r="F86" t="str">
        <f>IF(A86="","",SUMIF('Registro de trabajos'!F:F,B86,'Registro de trabajos'!G:G))</f>
        <v/>
      </c>
      <c r="G86" t="str">
        <f t="shared" si="6"/>
        <v/>
      </c>
      <c r="H86" t="str">
        <f>IF(A86="","",0)</f>
        <v/>
      </c>
      <c r="I86" t="str">
        <f>IF(A86="","",0)</f>
        <v/>
      </c>
      <c r="J86" t="str">
        <f t="shared" si="7"/>
        <v/>
      </c>
      <c r="K86" t="str">
        <f>IF(A86="","",COUNTIF('Registro de trabajos'!F:F,B86))</f>
        <v/>
      </c>
      <c r="L86" t="str">
        <f>IF(A86="","",F86)</f>
        <v/>
      </c>
      <c r="M86" t="str">
        <f t="shared" si="8"/>
        <v/>
      </c>
    </row>
    <row r="87" spans="1:13" x14ac:dyDescent="0.25">
      <c r="A87" t="str">
        <f>IF('Control de rollos'!D84&lt;&gt;"","A","")</f>
        <v/>
      </c>
      <c r="B87" t="str">
        <f>IF(A87="","",A87&amp;"-"&amp;TEXT(COUNTIF($A$2:A87,A87),"000"))</f>
        <v/>
      </c>
      <c r="C87" t="str">
        <f>IF(A87="","",D84)</f>
        <v/>
      </c>
      <c r="E87" t="str">
        <f>IF(A87="","",Configuración!B3)</f>
        <v/>
      </c>
      <c r="F87" t="str">
        <f>IF(A87="","",SUMIF('Registro de trabajos'!D:D,B87,'Registro de trabajos'!E:E))</f>
        <v/>
      </c>
      <c r="G87" t="str">
        <f t="shared" si="6"/>
        <v/>
      </c>
      <c r="H87" t="str">
        <f>IF(A87="","",SUMIF('Registro de trabajos'!D:D,B87,'Registro de trabajos'!H:H))</f>
        <v/>
      </c>
      <c r="I87" t="str">
        <f>IF(A87="","",Configuración!B4)</f>
        <v/>
      </c>
      <c r="J87" t="str">
        <f t="shared" si="7"/>
        <v/>
      </c>
      <c r="K87" t="str">
        <f>IF(A87="","",COUNTIF('Registro de trabajos'!D:D,B87))</f>
        <v/>
      </c>
      <c r="L87" t="str">
        <f>IF(A87="","",SUMIF('Registro de trabajos'!D:D,B87,'Registro de trabajos'!G:G))</f>
        <v/>
      </c>
      <c r="M87" t="str">
        <f t="shared" si="8"/>
        <v/>
      </c>
    </row>
    <row r="88" spans="1:13" x14ac:dyDescent="0.25">
      <c r="A88" t="str">
        <f>IF('Control de rollos'!D86&lt;&gt;"","B","")</f>
        <v/>
      </c>
      <c r="B88" t="str">
        <f>IF(A88="","",A88&amp;"-"&amp;TEXT(COUNTIF($A$2:A88,A88),"000"))</f>
        <v/>
      </c>
      <c r="C88" t="str">
        <f>IF(A88="","",D86)</f>
        <v/>
      </c>
      <c r="E88" t="str">
        <f>IF(A88="","",Configuración!B3)</f>
        <v/>
      </c>
      <c r="F88" t="str">
        <f>IF(A88="","",SUMIF('Registro de trabajos'!F:F,B88,'Registro de trabajos'!G:G))</f>
        <v/>
      </c>
      <c r="G88" t="str">
        <f t="shared" si="6"/>
        <v/>
      </c>
      <c r="H88" t="str">
        <f>IF(A88="","",0)</f>
        <v/>
      </c>
      <c r="I88" t="str">
        <f>IF(A88="","",0)</f>
        <v/>
      </c>
      <c r="J88" t="str">
        <f t="shared" si="7"/>
        <v/>
      </c>
      <c r="K88" t="str">
        <f>IF(A88="","",COUNTIF('Registro de trabajos'!F:F,B88))</f>
        <v/>
      </c>
      <c r="L88" t="str">
        <f>IF(A88="","",F88)</f>
        <v/>
      </c>
      <c r="M88" t="str">
        <f t="shared" si="8"/>
        <v/>
      </c>
    </row>
    <row r="89" spans="1:13" x14ac:dyDescent="0.25">
      <c r="A89" t="str">
        <f>IF('Control de rollos'!D86&lt;&gt;"","A","")</f>
        <v/>
      </c>
      <c r="B89" t="str">
        <f>IF(A89="","",A89&amp;"-"&amp;TEXT(COUNTIF($A$2:A89,A89),"000"))</f>
        <v/>
      </c>
      <c r="C89" t="str">
        <f>IF(A89="","",D86)</f>
        <v/>
      </c>
      <c r="E89" t="str">
        <f>IF(A89="","",Configuración!B3)</f>
        <v/>
      </c>
      <c r="F89" t="str">
        <f>IF(A89="","",SUMIF('Registro de trabajos'!D:D,B89,'Registro de trabajos'!E:E))</f>
        <v/>
      </c>
      <c r="G89" t="str">
        <f t="shared" si="6"/>
        <v/>
      </c>
      <c r="H89" t="str">
        <f>IF(A89="","",SUMIF('Registro de trabajos'!D:D,B89,'Registro de trabajos'!H:H))</f>
        <v/>
      </c>
      <c r="I89" t="str">
        <f>IF(A89="","",Configuración!B4)</f>
        <v/>
      </c>
      <c r="J89" t="str">
        <f t="shared" si="7"/>
        <v/>
      </c>
      <c r="K89" t="str">
        <f>IF(A89="","",COUNTIF('Registro de trabajos'!D:D,B89))</f>
        <v/>
      </c>
      <c r="L89" t="str">
        <f>IF(A89="","",SUMIF('Registro de trabajos'!D:D,B89,'Registro de trabajos'!G:G))</f>
        <v/>
      </c>
      <c r="M89" t="str">
        <f t="shared" si="8"/>
        <v/>
      </c>
    </row>
    <row r="90" spans="1:13" x14ac:dyDescent="0.25">
      <c r="A90" t="str">
        <f>IF('Control de rollos'!D88&lt;&gt;"","B","")</f>
        <v/>
      </c>
      <c r="B90" t="str">
        <f>IF(A90="","",A90&amp;"-"&amp;TEXT(COUNTIF($A$2:A90,A90),"000"))</f>
        <v/>
      </c>
      <c r="C90" t="str">
        <f>IF(A90="","",D88)</f>
        <v/>
      </c>
      <c r="E90" t="str">
        <f>IF(A90="","",Configuración!B3)</f>
        <v/>
      </c>
      <c r="F90" t="str">
        <f>IF(A90="","",SUMIF('Registro de trabajos'!F:F,B90,'Registro de trabajos'!G:G))</f>
        <v/>
      </c>
      <c r="G90" t="str">
        <f t="shared" si="6"/>
        <v/>
      </c>
      <c r="H90" t="str">
        <f>IF(A90="","",0)</f>
        <v/>
      </c>
      <c r="I90" t="str">
        <f>IF(A90="","",0)</f>
        <v/>
      </c>
      <c r="J90" t="str">
        <f t="shared" si="7"/>
        <v/>
      </c>
      <c r="K90" t="str">
        <f>IF(A90="","",COUNTIF('Registro de trabajos'!F:F,B90))</f>
        <v/>
      </c>
      <c r="L90" t="str">
        <f>IF(A90="","",F90)</f>
        <v/>
      </c>
      <c r="M90" t="str">
        <f t="shared" si="8"/>
        <v/>
      </c>
    </row>
    <row r="91" spans="1:13" x14ac:dyDescent="0.25">
      <c r="A91" t="str">
        <f>IF('Control de rollos'!D88&lt;&gt;"","A","")</f>
        <v/>
      </c>
      <c r="B91" t="str">
        <f>IF(A91="","",A91&amp;"-"&amp;TEXT(COUNTIF($A$2:A91,A91),"000"))</f>
        <v/>
      </c>
      <c r="C91" t="str">
        <f>IF(A91="","",D88)</f>
        <v/>
      </c>
      <c r="E91" t="str">
        <f>IF(A91="","",Configuración!B3)</f>
        <v/>
      </c>
      <c r="F91" t="str">
        <f>IF(A91="","",SUMIF('Registro de trabajos'!D:D,B91,'Registro de trabajos'!E:E))</f>
        <v/>
      </c>
      <c r="G91" t="str">
        <f t="shared" si="6"/>
        <v/>
      </c>
      <c r="H91" t="str">
        <f>IF(A91="","",SUMIF('Registro de trabajos'!D:D,B91,'Registro de trabajos'!H:H))</f>
        <v/>
      </c>
      <c r="I91" t="str">
        <f>IF(A91="","",Configuración!B4)</f>
        <v/>
      </c>
      <c r="J91" t="str">
        <f t="shared" si="7"/>
        <v/>
      </c>
      <c r="K91" t="str">
        <f>IF(A91="","",COUNTIF('Registro de trabajos'!D:D,B91))</f>
        <v/>
      </c>
      <c r="L91" t="str">
        <f>IF(A91="","",SUMIF('Registro de trabajos'!D:D,B91,'Registro de trabajos'!G:G))</f>
        <v/>
      </c>
      <c r="M91" t="str">
        <f t="shared" si="8"/>
        <v/>
      </c>
    </row>
    <row r="92" spans="1:13" x14ac:dyDescent="0.25">
      <c r="A92" t="str">
        <f>IF('Control de rollos'!D90&lt;&gt;"","B","")</f>
        <v/>
      </c>
      <c r="B92" t="str">
        <f>IF(A92="","",A92&amp;"-"&amp;TEXT(COUNTIF($A$2:A92,A92),"000"))</f>
        <v/>
      </c>
      <c r="C92" t="str">
        <f>IF(A92="","",D90)</f>
        <v/>
      </c>
      <c r="E92" t="str">
        <f>IF(A92="","",Configuración!B3)</f>
        <v/>
      </c>
      <c r="F92" t="str">
        <f>IF(A92="","",SUMIF('Registro de trabajos'!F:F,B92,'Registro de trabajos'!G:G))</f>
        <v/>
      </c>
      <c r="G92" t="str">
        <f t="shared" si="6"/>
        <v/>
      </c>
      <c r="H92" t="str">
        <f>IF(A92="","",0)</f>
        <v/>
      </c>
      <c r="I92" t="str">
        <f>IF(A92="","",0)</f>
        <v/>
      </c>
      <c r="J92" t="str">
        <f t="shared" si="7"/>
        <v/>
      </c>
      <c r="K92" t="str">
        <f>IF(A92="","",COUNTIF('Registro de trabajos'!F:F,B92))</f>
        <v/>
      </c>
      <c r="L92" t="str">
        <f>IF(A92="","",F92)</f>
        <v/>
      </c>
      <c r="M92" t="str">
        <f t="shared" si="8"/>
        <v/>
      </c>
    </row>
    <row r="93" spans="1:13" x14ac:dyDescent="0.25">
      <c r="A93" t="str">
        <f>IF('Control de rollos'!D90&lt;&gt;"","A","")</f>
        <v/>
      </c>
      <c r="B93" t="str">
        <f>IF(A93="","",A93&amp;"-"&amp;TEXT(COUNTIF($A$2:A93,A93),"000"))</f>
        <v/>
      </c>
      <c r="C93" t="str">
        <f>IF(A93="","",D90)</f>
        <v/>
      </c>
      <c r="E93" t="str">
        <f>IF(A93="","",Configuración!B3)</f>
        <v/>
      </c>
      <c r="F93" t="str">
        <f>IF(A93="","",SUMIF('Registro de trabajos'!D:D,B93,'Registro de trabajos'!E:E))</f>
        <v/>
      </c>
      <c r="G93" t="str">
        <f t="shared" si="6"/>
        <v/>
      </c>
      <c r="H93" t="str">
        <f>IF(A93="","",SUMIF('Registro de trabajos'!D:D,B93,'Registro de trabajos'!H:H))</f>
        <v/>
      </c>
      <c r="I93" t="str">
        <f>IF(A93="","",Configuración!B4)</f>
        <v/>
      </c>
      <c r="J93" t="str">
        <f t="shared" si="7"/>
        <v/>
      </c>
      <c r="K93" t="str">
        <f>IF(A93="","",COUNTIF('Registro de trabajos'!D:D,B93))</f>
        <v/>
      </c>
      <c r="L93" t="str">
        <f>IF(A93="","",SUMIF('Registro de trabajos'!D:D,B93,'Registro de trabajos'!G:G))</f>
        <v/>
      </c>
      <c r="M93" t="str">
        <f t="shared" si="8"/>
        <v/>
      </c>
    </row>
    <row r="94" spans="1:13" x14ac:dyDescent="0.25">
      <c r="A94" t="str">
        <f>IF('Control de rollos'!D92&lt;&gt;"","B","")</f>
        <v/>
      </c>
      <c r="B94" t="str">
        <f>IF(A94="","",A94&amp;"-"&amp;TEXT(COUNTIF($A$2:A94,A94),"000"))</f>
        <v/>
      </c>
      <c r="C94" t="str">
        <f>IF(A94="","",D92)</f>
        <v/>
      </c>
      <c r="E94" t="str">
        <f>IF(A94="","",Configuración!B3)</f>
        <v/>
      </c>
      <c r="F94" t="str">
        <f>IF(A94="","",SUMIF('Registro de trabajos'!F:F,B94,'Registro de trabajos'!G:G))</f>
        <v/>
      </c>
      <c r="G94" t="str">
        <f t="shared" si="6"/>
        <v/>
      </c>
      <c r="H94" t="str">
        <f>IF(A94="","",0)</f>
        <v/>
      </c>
      <c r="I94" t="str">
        <f>IF(A94="","",0)</f>
        <v/>
      </c>
      <c r="J94" t="str">
        <f t="shared" si="7"/>
        <v/>
      </c>
      <c r="K94" t="str">
        <f>IF(A94="","",COUNTIF('Registro de trabajos'!F:F,B94))</f>
        <v/>
      </c>
      <c r="L94" t="str">
        <f>IF(A94="","",F94)</f>
        <v/>
      </c>
      <c r="M94" t="str">
        <f t="shared" si="8"/>
        <v/>
      </c>
    </row>
    <row r="95" spans="1:13" x14ac:dyDescent="0.25">
      <c r="A95" t="str">
        <f>IF('Control de rollos'!D92&lt;&gt;"","A","")</f>
        <v/>
      </c>
      <c r="B95" t="str">
        <f>IF(A95="","",A95&amp;"-"&amp;TEXT(COUNTIF($A$2:A95,A95),"000"))</f>
        <v/>
      </c>
      <c r="C95" t="str">
        <f>IF(A95="","",D92)</f>
        <v/>
      </c>
      <c r="E95" t="str">
        <f>IF(A95="","",Configuración!B3)</f>
        <v/>
      </c>
      <c r="F95" t="str">
        <f>IF(A95="","",SUMIF('Registro de trabajos'!D:D,B95,'Registro de trabajos'!E:E))</f>
        <v/>
      </c>
      <c r="G95" t="str">
        <f t="shared" si="6"/>
        <v/>
      </c>
      <c r="H95" t="str">
        <f>IF(A95="","",SUMIF('Registro de trabajos'!D:D,B95,'Registro de trabajos'!H:H))</f>
        <v/>
      </c>
      <c r="I95" t="str">
        <f>IF(A95="","",Configuración!B4)</f>
        <v/>
      </c>
      <c r="J95" t="str">
        <f t="shared" si="7"/>
        <v/>
      </c>
      <c r="K95" t="str">
        <f>IF(A95="","",COUNTIF('Registro de trabajos'!D:D,B95))</f>
        <v/>
      </c>
      <c r="L95" t="str">
        <f>IF(A95="","",SUMIF('Registro de trabajos'!D:D,B95,'Registro de trabajos'!G:G))</f>
        <v/>
      </c>
      <c r="M95" t="str">
        <f t="shared" si="8"/>
        <v/>
      </c>
    </row>
    <row r="96" spans="1:13" x14ac:dyDescent="0.25">
      <c r="A96" t="str">
        <f>IF('Control de rollos'!D94&lt;&gt;"","B","")</f>
        <v/>
      </c>
      <c r="B96" t="str">
        <f>IF(A96="","",A96&amp;"-"&amp;TEXT(COUNTIF($A$2:A96,A96),"000"))</f>
        <v/>
      </c>
      <c r="C96" t="str">
        <f>IF(A96="","",D94)</f>
        <v/>
      </c>
      <c r="E96" t="str">
        <f>IF(A96="","",Configuración!B3)</f>
        <v/>
      </c>
      <c r="F96" t="str">
        <f>IF(A96="","",SUMIF('Registro de trabajos'!F:F,B96,'Registro de trabajos'!G:G))</f>
        <v/>
      </c>
      <c r="G96" t="str">
        <f t="shared" si="6"/>
        <v/>
      </c>
      <c r="H96" t="str">
        <f>IF(A96="","",0)</f>
        <v/>
      </c>
      <c r="I96" t="str">
        <f>IF(A96="","",0)</f>
        <v/>
      </c>
      <c r="J96" t="str">
        <f t="shared" si="7"/>
        <v/>
      </c>
      <c r="K96" t="str">
        <f>IF(A96="","",COUNTIF('Registro de trabajos'!F:F,B96))</f>
        <v/>
      </c>
      <c r="L96" t="str">
        <f>IF(A96="","",F96)</f>
        <v/>
      </c>
      <c r="M96" t="str">
        <f t="shared" si="8"/>
        <v/>
      </c>
    </row>
    <row r="97" spans="1:13" x14ac:dyDescent="0.25">
      <c r="A97" t="str">
        <f>IF('Control de rollos'!D94&lt;&gt;"","A","")</f>
        <v/>
      </c>
      <c r="B97" t="str">
        <f>IF(A97="","",A97&amp;"-"&amp;TEXT(COUNTIF($A$2:A97,A97),"000"))</f>
        <v/>
      </c>
      <c r="C97" t="str">
        <f>IF(A97="","",D94)</f>
        <v/>
      </c>
      <c r="E97" t="str">
        <f>IF(A97="","",Configuración!B3)</f>
        <v/>
      </c>
      <c r="F97" t="str">
        <f>IF(A97="","",SUMIF('Registro de trabajos'!D:D,B97,'Registro de trabajos'!E:E))</f>
        <v/>
      </c>
      <c r="G97" t="str">
        <f t="shared" si="6"/>
        <v/>
      </c>
      <c r="H97" t="str">
        <f>IF(A97="","",SUMIF('Registro de trabajos'!D:D,B97,'Registro de trabajos'!H:H))</f>
        <v/>
      </c>
      <c r="I97" t="str">
        <f>IF(A97="","",Configuración!B4)</f>
        <v/>
      </c>
      <c r="J97" t="str">
        <f t="shared" si="7"/>
        <v/>
      </c>
      <c r="K97" t="str">
        <f>IF(A97="","",COUNTIF('Registro de trabajos'!D:D,B97))</f>
        <v/>
      </c>
      <c r="L97" t="str">
        <f>IF(A97="","",SUMIF('Registro de trabajos'!D:D,B97,'Registro de trabajos'!G:G))</f>
        <v/>
      </c>
      <c r="M97" t="str">
        <f t="shared" si="8"/>
        <v/>
      </c>
    </row>
    <row r="98" spans="1:13" x14ac:dyDescent="0.25">
      <c r="A98" t="str">
        <f>IF('Control de rollos'!D96&lt;&gt;"","B","")</f>
        <v/>
      </c>
      <c r="B98" t="str">
        <f>IF(A98="","",A98&amp;"-"&amp;TEXT(COUNTIF($A$2:A98,A98),"000"))</f>
        <v/>
      </c>
      <c r="C98" t="str">
        <f>IF(A98="","",D96)</f>
        <v/>
      </c>
      <c r="E98" t="str">
        <f>IF(A98="","",Configuración!B3)</f>
        <v/>
      </c>
      <c r="F98" t="str">
        <f>IF(A98="","",SUMIF('Registro de trabajos'!F:F,B98,'Registro de trabajos'!G:G))</f>
        <v/>
      </c>
      <c r="G98" t="str">
        <f t="shared" si="6"/>
        <v/>
      </c>
      <c r="H98" t="str">
        <f>IF(A98="","",0)</f>
        <v/>
      </c>
      <c r="I98" t="str">
        <f>IF(A98="","",0)</f>
        <v/>
      </c>
      <c r="J98" t="str">
        <f t="shared" si="7"/>
        <v/>
      </c>
      <c r="K98" t="str">
        <f>IF(A98="","",COUNTIF('Registro de trabajos'!F:F,B98))</f>
        <v/>
      </c>
      <c r="L98" t="str">
        <f>IF(A98="","",F98)</f>
        <v/>
      </c>
      <c r="M98" t="str">
        <f t="shared" si="8"/>
        <v/>
      </c>
    </row>
    <row r="99" spans="1:13" x14ac:dyDescent="0.25">
      <c r="A99" t="str">
        <f>IF('Control de rollos'!D96&lt;&gt;"","A","")</f>
        <v/>
      </c>
      <c r="B99" t="str">
        <f>IF(A99="","",A99&amp;"-"&amp;TEXT(COUNTIF($A$2:A99,A99),"000"))</f>
        <v/>
      </c>
      <c r="C99" t="str">
        <f>IF(A99="","",D96)</f>
        <v/>
      </c>
      <c r="E99" t="str">
        <f>IF(A99="","",Configuración!B3)</f>
        <v/>
      </c>
      <c r="F99" t="str">
        <f>IF(A99="","",SUMIF('Registro de trabajos'!D:D,B99,'Registro de trabajos'!E:E))</f>
        <v/>
      </c>
      <c r="G99" t="str">
        <f t="shared" si="6"/>
        <v/>
      </c>
      <c r="H99" t="str">
        <f>IF(A99="","",SUMIF('Registro de trabajos'!D:D,B99,'Registro de trabajos'!H:H))</f>
        <v/>
      </c>
      <c r="I99" t="str">
        <f>IF(A99="","",Configuración!B4)</f>
        <v/>
      </c>
      <c r="J99" t="str">
        <f t="shared" si="7"/>
        <v/>
      </c>
      <c r="K99" t="str">
        <f>IF(A99="","",COUNTIF('Registro de trabajos'!D:D,B99))</f>
        <v/>
      </c>
      <c r="L99" t="str">
        <f>IF(A99="","",SUMIF('Registro de trabajos'!D:D,B99,'Registro de trabajos'!G:G))</f>
        <v/>
      </c>
      <c r="M99" t="str">
        <f t="shared" si="8"/>
        <v/>
      </c>
    </row>
    <row r="100" spans="1:13" x14ac:dyDescent="0.25">
      <c r="A100" t="str">
        <f>IF('Control de rollos'!D98&lt;&gt;"","B","")</f>
        <v/>
      </c>
      <c r="B100" t="str">
        <f>IF(A100="","",A100&amp;"-"&amp;TEXT(COUNTIF($A$2:A100,A100),"000"))</f>
        <v/>
      </c>
      <c r="C100" t="str">
        <f>IF(A100="","",D98)</f>
        <v/>
      </c>
      <c r="E100" t="str">
        <f>IF(A100="","",Configuración!B3)</f>
        <v/>
      </c>
      <c r="F100" t="str">
        <f>IF(A100="","",SUMIF('Registro de trabajos'!F:F,B100,'Registro de trabajos'!G:G))</f>
        <v/>
      </c>
      <c r="G100" t="str">
        <f t="shared" si="6"/>
        <v/>
      </c>
      <c r="H100" t="str">
        <f>IF(A100="","",0)</f>
        <v/>
      </c>
      <c r="I100" t="str">
        <f>IF(A100="","",0)</f>
        <v/>
      </c>
      <c r="J100" t="str">
        <f t="shared" si="7"/>
        <v/>
      </c>
      <c r="K100" t="str">
        <f>IF(A100="","",COUNTIF('Registro de trabajos'!F:F,B100))</f>
        <v/>
      </c>
      <c r="L100" t="str">
        <f>IF(A100="","",F100)</f>
        <v/>
      </c>
      <c r="M100" t="str">
        <f t="shared" si="8"/>
        <v/>
      </c>
    </row>
    <row r="101" spans="1:13" x14ac:dyDescent="0.25">
      <c r="A101" t="str">
        <f>IF('Control de rollos'!D98&lt;&gt;"","A","")</f>
        <v/>
      </c>
      <c r="B101" t="str">
        <f>IF(A101="","",A101&amp;"-"&amp;TEXT(COUNTIF($A$2:A101,A101),"000"))</f>
        <v/>
      </c>
      <c r="C101" t="str">
        <f>IF(A101="","",D98)</f>
        <v/>
      </c>
      <c r="E101" t="str">
        <f>IF(A101="","",Configuración!B3)</f>
        <v/>
      </c>
      <c r="F101" t="str">
        <f>IF(A101="","",SUMIF('Registro de trabajos'!D:D,B101,'Registro de trabajos'!E:E))</f>
        <v/>
      </c>
      <c r="G101" t="str">
        <f t="shared" ref="G101:G103" si="9">IF(A101="","",MAX(0,E101-F101))</f>
        <v/>
      </c>
      <c r="H101" t="str">
        <f>IF(A101="","",SUMIF('Registro de trabajos'!D:D,B101,'Registro de trabajos'!H:H))</f>
        <v/>
      </c>
      <c r="I101" t="str">
        <f>IF(A101="","",Configuración!B4)</f>
        <v/>
      </c>
      <c r="J101" t="str">
        <f t="shared" ref="J101:J103" si="10">IF(A101="","",H101-I101)</f>
        <v/>
      </c>
      <c r="K101" t="str">
        <f>IF(A101="","",COUNTIF('Registro de trabajos'!D:D,B101))</f>
        <v/>
      </c>
      <c r="L101" t="str">
        <f>IF(A101="","",SUMIF('Registro de trabajos'!D:D,B101,'Registro de trabajos'!G:G))</f>
        <v/>
      </c>
      <c r="M101" t="str">
        <f t="shared" si="8"/>
        <v/>
      </c>
    </row>
    <row r="102" spans="1:13" x14ac:dyDescent="0.25">
      <c r="A102" t="str">
        <f>IF('Control de rollos'!D100&lt;&gt;"","B","")</f>
        <v/>
      </c>
      <c r="B102" t="str">
        <f>IF(A102="","",A102&amp;"-"&amp;TEXT(COUNTIF($A$2:A102,A102),"000"))</f>
        <v/>
      </c>
      <c r="C102" t="str">
        <f>IF(A102="","",D100)</f>
        <v/>
      </c>
      <c r="E102" t="str">
        <f>IF(A102="","",Configuración!B3)</f>
        <v/>
      </c>
      <c r="F102" t="str">
        <f>IF(A102="","",SUMIF('Registro de trabajos'!F:F,B102,'Registro de trabajos'!G:G))</f>
        <v/>
      </c>
      <c r="G102" t="str">
        <f t="shared" si="9"/>
        <v/>
      </c>
      <c r="H102" t="str">
        <f>IF(A102="","",0)</f>
        <v/>
      </c>
      <c r="I102" t="str">
        <f>IF(A102="","",0)</f>
        <v/>
      </c>
      <c r="J102" t="str">
        <f t="shared" si="10"/>
        <v/>
      </c>
      <c r="K102" t="str">
        <f>IF(A102="","",COUNTIF('Registro de trabajos'!F:F,B102))</f>
        <v/>
      </c>
      <c r="L102" t="str">
        <f>IF(A102="","",F102)</f>
        <v/>
      </c>
      <c r="M102" t="str">
        <f t="shared" si="8"/>
        <v/>
      </c>
    </row>
    <row r="103" spans="1:13" x14ac:dyDescent="0.25">
      <c r="A103" t="str">
        <f>IF('Control de rollos'!D100&lt;&gt;"","A","")</f>
        <v/>
      </c>
      <c r="B103" t="str">
        <f>IF(A103="","",A103&amp;"-"&amp;TEXT(COUNTIF($A$2:A103,A103),"000"))</f>
        <v/>
      </c>
      <c r="C103" t="str">
        <f>IF(A103="","",D100)</f>
        <v/>
      </c>
      <c r="E103" t="str">
        <f>IF(A103="","",Configuración!B3)</f>
        <v/>
      </c>
      <c r="F103" t="str">
        <f>IF(A103="","",SUMIF('Registro de trabajos'!D:D,B103,'Registro de trabajos'!E:E))</f>
        <v/>
      </c>
      <c r="G103" t="str">
        <f t="shared" si="9"/>
        <v/>
      </c>
      <c r="H103" t="str">
        <f>IF(A103="","",SUMIF('Registro de trabajos'!D:D,B103,'Registro de trabajos'!H:H))</f>
        <v/>
      </c>
      <c r="I103" t="str">
        <f>IF(A103="","",Configuración!B4)</f>
        <v/>
      </c>
      <c r="J103" t="str">
        <f t="shared" si="10"/>
        <v/>
      </c>
      <c r="K103" t="str">
        <f>IF(A103="","",COUNTIF('Registro de trabajos'!D:D,B103))</f>
        <v/>
      </c>
      <c r="L103" t="str">
        <f>IF(A103="","",SUMIF('Registro de trabajos'!D:D,B103,'Registro de trabajos'!G:G))</f>
        <v/>
      </c>
      <c r="M103" t="str">
        <f t="shared" si="8"/>
        <v/>
      </c>
    </row>
  </sheetData>
  <dataValidations count="1">
    <dataValidation type="list" allowBlank="1" sqref="A2:A103" xr:uid="{00000000-0002-0000-0200-000000000000}">
      <formula1>"A,B"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tabSelected="1" zoomScaleNormal="100" workbookViewId="0">
      <selection activeCell="B6" sqref="B6"/>
    </sheetView>
  </sheetViews>
  <sheetFormatPr baseColWidth="10" defaultColWidth="9.140625" defaultRowHeight="15" customHeight="1" x14ac:dyDescent="0.25"/>
  <cols>
    <col min="1" max="1" width="28" style="1" customWidth="1"/>
    <col min="2" max="2" width="21" style="1" customWidth="1"/>
    <col min="3" max="3" width="12" style="1" customWidth="1"/>
    <col min="4" max="4" width="33" style="1" customWidth="1"/>
    <col min="6" max="6" width="13" hidden="1" customWidth="1"/>
  </cols>
  <sheetData>
    <row r="1" spans="1:11" ht="18" customHeight="1" x14ac:dyDescent="0.25">
      <c r="A1" s="38" t="s">
        <v>69</v>
      </c>
      <c r="B1" s="35"/>
      <c r="C1" s="35"/>
      <c r="D1" s="35"/>
      <c r="F1" t="s">
        <v>70</v>
      </c>
      <c r="J1" t="s">
        <v>71</v>
      </c>
      <c r="K1" t="s">
        <v>72</v>
      </c>
    </row>
    <row r="2" spans="1:11" ht="15" customHeight="1" x14ac:dyDescent="0.2">
      <c r="A2" s="29" t="s">
        <v>73</v>
      </c>
      <c r="B2" s="29" t="s">
        <v>43</v>
      </c>
      <c r="C2" s="29" t="s">
        <v>74</v>
      </c>
      <c r="D2" s="29" t="s">
        <v>75</v>
      </c>
      <c r="F2" t="s">
        <v>13</v>
      </c>
      <c r="J2" t="str">
        <f>IF(AND('Control de rollos'!B2&lt;&gt;"",'Control de rollos'!D2=""),'Control de rollos'!B2,"")</f>
        <v>A-001</v>
      </c>
      <c r="K2" t="str">
        <f>IF(AND('Control de rollos'!B2&lt;&gt;"",'Control de rollos'!D2=""),IF(LEFT('Control de rollos'!B2,1)="B",'Control de rollos'!B2,""),"")</f>
        <v/>
      </c>
    </row>
    <row r="3" spans="1:11" ht="15" customHeight="1" x14ac:dyDescent="0.2">
      <c r="A3" s="30" t="s">
        <v>76</v>
      </c>
      <c r="B3" s="31">
        <v>100</v>
      </c>
      <c r="C3" s="30" t="s">
        <v>77</v>
      </c>
      <c r="D3" s="30" t="s">
        <v>78</v>
      </c>
      <c r="F3" t="s">
        <v>79</v>
      </c>
      <c r="J3" t="str">
        <f>IF(AND('Control de rollos'!B3&lt;&gt;"",'Control de rollos'!D3=""),'Control de rollos'!B3,"")</f>
        <v/>
      </c>
      <c r="K3" t="str">
        <f>IF(AND('Control de rollos'!B3&lt;&gt;"",'Control de rollos'!D3=""),IF(LEFT('Control de rollos'!B3,1)="B",'Control de rollos'!B3,""),"")</f>
        <v/>
      </c>
    </row>
    <row r="4" spans="1:11" ht="15" customHeight="1" x14ac:dyDescent="0.2">
      <c r="A4" s="30" t="s">
        <v>80</v>
      </c>
      <c r="B4" s="32">
        <v>0</v>
      </c>
      <c r="C4" s="30" t="s">
        <v>81</v>
      </c>
      <c r="D4" s="30" t="s">
        <v>82</v>
      </c>
      <c r="F4" t="s">
        <v>83</v>
      </c>
      <c r="J4" t="str">
        <f>IF(AND('Control de rollos'!B4&lt;&gt;"",'Control de rollos'!D4=""),'Control de rollos'!B4,"")</f>
        <v>B-002</v>
      </c>
      <c r="K4" t="str">
        <f>IF(AND('Control de rollos'!B4&lt;&gt;"",'Control de rollos'!D4=""),IF(LEFT('Control de rollos'!B4,1)="B",'Control de rollos'!B4,""),"")</f>
        <v>B-002</v>
      </c>
    </row>
    <row r="5" spans="1:11" ht="15" customHeight="1" x14ac:dyDescent="0.2">
      <c r="A5" s="30" t="s">
        <v>84</v>
      </c>
      <c r="B5" s="32">
        <v>0</v>
      </c>
      <c r="C5" s="30" t="s">
        <v>81</v>
      </c>
      <c r="D5" s="30" t="s">
        <v>82</v>
      </c>
      <c r="F5" t="s">
        <v>85</v>
      </c>
      <c r="J5" t="str">
        <f>IF(AND('Control de rollos'!B5&lt;&gt;"",'Control de rollos'!D5=""),'Control de rollos'!B5,"")</f>
        <v/>
      </c>
      <c r="K5" t="str">
        <f>IF(AND('Control de rollos'!B5&lt;&gt;"",'Control de rollos'!D5=""),IF(LEFT('Control de rollos'!B5,1)="B",'Control de rollos'!B5,""),"")</f>
        <v/>
      </c>
    </row>
    <row r="6" spans="1:11" ht="15" customHeight="1" x14ac:dyDescent="0.2">
      <c r="A6" s="30" t="s">
        <v>86</v>
      </c>
      <c r="B6" s="33">
        <v>46272</v>
      </c>
      <c r="C6" s="30"/>
      <c r="D6" s="30" t="s">
        <v>87</v>
      </c>
      <c r="F6" t="s">
        <v>88</v>
      </c>
      <c r="J6" t="str">
        <f>IF(AND('Control de rollos'!B6&lt;&gt;"",'Control de rollos'!D6=""),'Control de rollos'!B6,"")</f>
        <v/>
      </c>
      <c r="K6" t="str">
        <f>IF(AND('Control de rollos'!B6&lt;&gt;"",'Control de rollos'!D6=""),IF(LEFT('Control de rollos'!B6,1)="B",'Control de rollos'!B6,""),"")</f>
        <v/>
      </c>
    </row>
    <row r="7" spans="1:11" x14ac:dyDescent="0.25">
      <c r="F7" t="s">
        <v>89</v>
      </c>
      <c r="J7" t="str">
        <f>IF(AND('Control de rollos'!B7&lt;&gt;"",'Control de rollos'!D7=""),'Control de rollos'!B7,"")</f>
        <v/>
      </c>
      <c r="K7" t="str">
        <f>IF(AND('Control de rollos'!B7&lt;&gt;"",'Control de rollos'!D7=""),IF(LEFT('Control de rollos'!B7,1)="B",'Control de rollos'!B7,""),"")</f>
        <v/>
      </c>
    </row>
    <row r="8" spans="1:11" x14ac:dyDescent="0.25">
      <c r="F8" t="s">
        <v>90</v>
      </c>
      <c r="J8" t="str">
        <f>IF(AND('Control de rollos'!B8&lt;&gt;"",'Control de rollos'!D8=""),'Control de rollos'!B8,"")</f>
        <v/>
      </c>
      <c r="K8" t="str">
        <f>IF(AND('Control de rollos'!B8&lt;&gt;"",'Control de rollos'!D8=""),IF(LEFT('Control de rollos'!B8,1)="B",'Control de rollos'!B8,""),"")</f>
        <v/>
      </c>
    </row>
    <row r="9" spans="1:11" x14ac:dyDescent="0.25">
      <c r="F9" t="s">
        <v>91</v>
      </c>
      <c r="J9" t="str">
        <f>IF(AND('Control de rollos'!B9&lt;&gt;"",'Control de rollos'!D9=""),'Control de rollos'!B9,"")</f>
        <v/>
      </c>
      <c r="K9" t="str">
        <f>IF(AND('Control de rollos'!B9&lt;&gt;"",'Control de rollos'!D9=""),IF(LEFT('Control de rollos'!B9,1)="B",'Control de rollos'!B9,""),"")</f>
        <v/>
      </c>
    </row>
    <row r="10" spans="1:11" x14ac:dyDescent="0.25">
      <c r="F10" t="s">
        <v>92</v>
      </c>
      <c r="J10" t="str">
        <f>IF(AND('Control de rollos'!B10&lt;&gt;"",'Control de rollos'!D10=""),'Control de rollos'!B10,"")</f>
        <v/>
      </c>
      <c r="K10" t="str">
        <f>IF(AND('Control de rollos'!B10&lt;&gt;"",'Control de rollos'!D10=""),IF(LEFT('Control de rollos'!B10,1)="B",'Control de rollos'!B10,""),"")</f>
        <v/>
      </c>
    </row>
    <row r="11" spans="1:11" x14ac:dyDescent="0.25">
      <c r="F11" t="s">
        <v>93</v>
      </c>
      <c r="J11" t="str">
        <f>IF(AND('Control de rollos'!B11&lt;&gt;"",'Control de rollos'!D11=""),'Control de rollos'!B11,"")</f>
        <v/>
      </c>
      <c r="K11" t="str">
        <f>IF(AND('Control de rollos'!B11&lt;&gt;"",'Control de rollos'!D11=""),IF(LEFT('Control de rollos'!B11,1)="B",'Control de rollos'!B11,""),"")</f>
        <v/>
      </c>
    </row>
    <row r="12" spans="1:11" x14ac:dyDescent="0.25">
      <c r="F12" t="s">
        <v>14</v>
      </c>
      <c r="J12" t="str">
        <f>IF(AND('Control de rollos'!B12&lt;&gt;"",'Control de rollos'!D12=""),'Control de rollos'!B12,"")</f>
        <v/>
      </c>
      <c r="K12" t="str">
        <f>IF(AND('Control de rollos'!B12&lt;&gt;"",'Control de rollos'!D12=""),IF(LEFT('Control de rollos'!B12,1)="B",'Control de rollos'!B12,""),"")</f>
        <v/>
      </c>
    </row>
    <row r="13" spans="1:11" x14ac:dyDescent="0.25">
      <c r="F13" t="s">
        <v>22</v>
      </c>
      <c r="J13" t="str">
        <f>IF(AND('Control de rollos'!B13&lt;&gt;"",'Control de rollos'!D13=""),'Control de rollos'!B13,"")</f>
        <v/>
      </c>
      <c r="K13" t="str">
        <f>IF(AND('Control de rollos'!B13&lt;&gt;"",'Control de rollos'!D13=""),IF(LEFT('Control de rollos'!B13,1)="B",'Control de rollos'!B13,""),"")</f>
        <v/>
      </c>
    </row>
    <row r="14" spans="1:11" x14ac:dyDescent="0.25">
      <c r="F14" t="s">
        <v>94</v>
      </c>
      <c r="J14" t="str">
        <f>IF(AND('Control de rollos'!B14&lt;&gt;"",'Control de rollos'!D14=""),'Control de rollos'!B14,"")</f>
        <v/>
      </c>
      <c r="K14" t="str">
        <f>IF(AND('Control de rollos'!B14&lt;&gt;"",'Control de rollos'!D14=""),IF(LEFT('Control de rollos'!B14,1)="B",'Control de rollos'!B14,""),"")</f>
        <v/>
      </c>
    </row>
    <row r="15" spans="1:11" x14ac:dyDescent="0.25">
      <c r="F15" t="s">
        <v>95</v>
      </c>
      <c r="J15" t="str">
        <f>IF(AND('Control de rollos'!B15&lt;&gt;"",'Control de rollos'!D15=""),'Control de rollos'!B15,"")</f>
        <v/>
      </c>
      <c r="K15" t="str">
        <f>IF(AND('Control de rollos'!B15&lt;&gt;"",'Control de rollos'!D15=""),IF(LEFT('Control de rollos'!B15,1)="B",'Control de rollos'!B15,""),"")</f>
        <v/>
      </c>
    </row>
    <row r="16" spans="1:11" x14ac:dyDescent="0.25">
      <c r="F16" t="s">
        <v>96</v>
      </c>
      <c r="J16" t="str">
        <f>IF(AND('Control de rollos'!B16&lt;&gt;"",'Control de rollos'!D16=""),'Control de rollos'!B16,"")</f>
        <v/>
      </c>
      <c r="K16" t="str">
        <f>IF(AND('Control de rollos'!B16&lt;&gt;"",'Control de rollos'!D16=""),IF(LEFT('Control de rollos'!B16,1)="B",'Control de rollos'!B16,""),"")</f>
        <v/>
      </c>
    </row>
    <row r="17" spans="6:11" x14ac:dyDescent="0.25">
      <c r="F17" t="s">
        <v>97</v>
      </c>
      <c r="J17" t="str">
        <f>IF(AND('Control de rollos'!B17&lt;&gt;"",'Control de rollos'!D17=""),'Control de rollos'!B17,"")</f>
        <v/>
      </c>
      <c r="K17" t="str">
        <f>IF(AND('Control de rollos'!B17&lt;&gt;"",'Control de rollos'!D17=""),IF(LEFT('Control de rollos'!B17,1)="B",'Control de rollos'!B17,""),"")</f>
        <v/>
      </c>
    </row>
    <row r="18" spans="6:11" x14ac:dyDescent="0.25">
      <c r="F18" t="s">
        <v>98</v>
      </c>
      <c r="J18" t="str">
        <f>IF(AND('Control de rollos'!B18&lt;&gt;"",'Control de rollos'!D18=""),'Control de rollos'!B18,"")</f>
        <v/>
      </c>
      <c r="K18" t="str">
        <f>IF(AND('Control de rollos'!B18&lt;&gt;"",'Control de rollos'!D18=""),IF(LEFT('Control de rollos'!B18,1)="B",'Control de rollos'!B18,""),"")</f>
        <v/>
      </c>
    </row>
    <row r="19" spans="6:11" x14ac:dyDescent="0.25">
      <c r="F19" t="s">
        <v>99</v>
      </c>
      <c r="J19" t="str">
        <f>IF(AND('Control de rollos'!B19&lt;&gt;"",'Control de rollos'!D19=""),'Control de rollos'!B19,"")</f>
        <v/>
      </c>
      <c r="K19" t="str">
        <f>IF(AND('Control de rollos'!B19&lt;&gt;"",'Control de rollos'!D19=""),IF(LEFT('Control de rollos'!B19,1)="B",'Control de rollos'!B19,""),"")</f>
        <v/>
      </c>
    </row>
    <row r="20" spans="6:11" x14ac:dyDescent="0.25">
      <c r="F20" t="s">
        <v>100</v>
      </c>
      <c r="J20" t="str">
        <f>IF(AND('Control de rollos'!B20&lt;&gt;"",'Control de rollos'!D20=""),'Control de rollos'!B20,"")</f>
        <v/>
      </c>
      <c r="K20" t="str">
        <f>IF(AND('Control de rollos'!B20&lt;&gt;"",'Control de rollos'!D20=""),IF(LEFT('Control de rollos'!B20,1)="B",'Control de rollos'!B20,""),"")</f>
        <v/>
      </c>
    </row>
    <row r="21" spans="6:11" x14ac:dyDescent="0.25">
      <c r="F21" t="s">
        <v>101</v>
      </c>
      <c r="J21" t="str">
        <f>IF(AND('Control de rollos'!B21&lt;&gt;"",'Control de rollos'!D21=""),'Control de rollos'!B21,"")</f>
        <v/>
      </c>
      <c r="K21" t="str">
        <f>IF(AND('Control de rollos'!B21&lt;&gt;"",'Control de rollos'!D21=""),IF(LEFT('Control de rollos'!B21,1)="B",'Control de rollos'!B21,""),"")</f>
        <v/>
      </c>
    </row>
    <row r="22" spans="6:11" x14ac:dyDescent="0.25">
      <c r="J22" t="str">
        <f>IF(AND('Control de rollos'!B22&lt;&gt;"",'Control de rollos'!D22=""),'Control de rollos'!B22,"")</f>
        <v/>
      </c>
      <c r="K22" t="str">
        <f>IF(AND('Control de rollos'!B22&lt;&gt;"",'Control de rollos'!D22=""),IF(LEFT('Control de rollos'!B22,1)="B",'Control de rollos'!B22,""),"")</f>
        <v/>
      </c>
    </row>
    <row r="23" spans="6:11" x14ac:dyDescent="0.25">
      <c r="J23" t="str">
        <f>IF(AND('Control de rollos'!B23&lt;&gt;"",'Control de rollos'!D23=""),'Control de rollos'!B23,"")</f>
        <v/>
      </c>
      <c r="K23" t="str">
        <f>IF(AND('Control de rollos'!B23&lt;&gt;"",'Control de rollos'!D23=""),IF(LEFT('Control de rollos'!B23,1)="B",'Control de rollos'!B23,""),"")</f>
        <v/>
      </c>
    </row>
    <row r="24" spans="6:11" x14ac:dyDescent="0.25">
      <c r="J24" t="str">
        <f>IF(AND('Control de rollos'!B24&lt;&gt;"",'Control de rollos'!D24=""),'Control de rollos'!B24,"")</f>
        <v/>
      </c>
      <c r="K24" t="str">
        <f>IF(AND('Control de rollos'!B24&lt;&gt;"",'Control de rollos'!D24=""),IF(LEFT('Control de rollos'!B24,1)="B",'Control de rollos'!B24,""),"")</f>
        <v/>
      </c>
    </row>
    <row r="25" spans="6:11" x14ac:dyDescent="0.25">
      <c r="J25" t="str">
        <f>IF(AND('Control de rollos'!B25&lt;&gt;"",'Control de rollos'!D25=""),'Control de rollos'!B25,"")</f>
        <v/>
      </c>
      <c r="K25" t="str">
        <f>IF(AND('Control de rollos'!B25&lt;&gt;"",'Control de rollos'!D25=""),IF(LEFT('Control de rollos'!B25,1)="B",'Control de rollos'!B25,""),"")</f>
        <v/>
      </c>
    </row>
    <row r="26" spans="6:11" x14ac:dyDescent="0.25">
      <c r="J26" t="str">
        <f>IF(AND('Control de rollos'!B26&lt;&gt;"",'Control de rollos'!D26=""),'Control de rollos'!B26,"")</f>
        <v/>
      </c>
      <c r="K26" t="str">
        <f>IF(AND('Control de rollos'!B26&lt;&gt;"",'Control de rollos'!D26=""),IF(LEFT('Control de rollos'!B26,1)="B",'Control de rollos'!B26,""),"")</f>
        <v/>
      </c>
    </row>
    <row r="27" spans="6:11" x14ac:dyDescent="0.25">
      <c r="J27" t="str">
        <f>IF(AND('Control de rollos'!B27&lt;&gt;"",'Control de rollos'!D27=""),'Control de rollos'!B27,"")</f>
        <v/>
      </c>
      <c r="K27" t="str">
        <f>IF(AND('Control de rollos'!B27&lt;&gt;"",'Control de rollos'!D27=""),IF(LEFT('Control de rollos'!B27,1)="B",'Control de rollos'!B27,""),"")</f>
        <v/>
      </c>
    </row>
    <row r="28" spans="6:11" x14ac:dyDescent="0.25">
      <c r="J28" t="str">
        <f>IF(AND('Control de rollos'!B28&lt;&gt;"",'Control de rollos'!D28=""),'Control de rollos'!B28,"")</f>
        <v/>
      </c>
      <c r="K28" t="str">
        <f>IF(AND('Control de rollos'!B28&lt;&gt;"",'Control de rollos'!D28=""),IF(LEFT('Control de rollos'!B28,1)="B",'Control de rollos'!B28,""),"")</f>
        <v/>
      </c>
    </row>
    <row r="29" spans="6:11" x14ac:dyDescent="0.25">
      <c r="J29" t="str">
        <f>IF(AND('Control de rollos'!B29&lt;&gt;"",'Control de rollos'!D29=""),'Control de rollos'!B29,"")</f>
        <v/>
      </c>
      <c r="K29" t="str">
        <f>IF(AND('Control de rollos'!B29&lt;&gt;"",'Control de rollos'!D29=""),IF(LEFT('Control de rollos'!B29,1)="B",'Control de rollos'!B29,""),"")</f>
        <v/>
      </c>
    </row>
    <row r="30" spans="6:11" x14ac:dyDescent="0.25">
      <c r="J30" t="str">
        <f>IF(AND('Control de rollos'!B30&lt;&gt;"",'Control de rollos'!D30=""),'Control de rollos'!B30,"")</f>
        <v/>
      </c>
      <c r="K30" t="str">
        <f>IF(AND('Control de rollos'!B30&lt;&gt;"",'Control de rollos'!D30=""),IF(LEFT('Control de rollos'!B30,1)="B",'Control de rollos'!B30,""),"")</f>
        <v/>
      </c>
    </row>
    <row r="31" spans="6:11" x14ac:dyDescent="0.25">
      <c r="J31" t="str">
        <f>IF(AND('Control de rollos'!B31&lt;&gt;"",'Control de rollos'!D31=""),'Control de rollos'!B31,"")</f>
        <v/>
      </c>
      <c r="K31" t="str">
        <f>IF(AND('Control de rollos'!B31&lt;&gt;"",'Control de rollos'!D31=""),IF(LEFT('Control de rollos'!B31,1)="B",'Control de rollos'!B31,""),"")</f>
        <v/>
      </c>
    </row>
    <row r="32" spans="6:11" x14ac:dyDescent="0.25">
      <c r="J32" t="str">
        <f>IF(AND('Control de rollos'!B32&lt;&gt;"",'Control de rollos'!D32=""),'Control de rollos'!B32,"")</f>
        <v/>
      </c>
      <c r="K32" t="str">
        <f>IF(AND('Control de rollos'!B32&lt;&gt;"",'Control de rollos'!D32=""),IF(LEFT('Control de rollos'!B32,1)="B",'Control de rollos'!B32,""),"")</f>
        <v/>
      </c>
    </row>
    <row r="33" spans="10:11" x14ac:dyDescent="0.25">
      <c r="J33" t="str">
        <f>IF(AND('Control de rollos'!B33&lt;&gt;"",'Control de rollos'!D33=""),'Control de rollos'!B33,"")</f>
        <v/>
      </c>
      <c r="K33" t="str">
        <f>IF(AND('Control de rollos'!B33&lt;&gt;"",'Control de rollos'!D33=""),IF(LEFT('Control de rollos'!B33,1)="B",'Control de rollos'!B33,""),"")</f>
        <v/>
      </c>
    </row>
    <row r="34" spans="10:11" x14ac:dyDescent="0.25">
      <c r="J34" t="str">
        <f>IF(AND('Control de rollos'!B34&lt;&gt;"",'Control de rollos'!D34=""),'Control de rollos'!B34,"")</f>
        <v/>
      </c>
      <c r="K34" t="str">
        <f>IF(AND('Control de rollos'!B34&lt;&gt;"",'Control de rollos'!D34=""),IF(LEFT('Control de rollos'!B34,1)="B",'Control de rollos'!B34,""),"")</f>
        <v/>
      </c>
    </row>
    <row r="35" spans="10:11" x14ac:dyDescent="0.25">
      <c r="J35" t="str">
        <f>IF(AND('Control de rollos'!B35&lt;&gt;"",'Control de rollos'!D35=""),'Control de rollos'!B35,"")</f>
        <v/>
      </c>
      <c r="K35" t="str">
        <f>IF(AND('Control de rollos'!B35&lt;&gt;"",'Control de rollos'!D35=""),IF(LEFT('Control de rollos'!B35,1)="B",'Control de rollos'!B35,""),"")</f>
        <v/>
      </c>
    </row>
    <row r="36" spans="10:11" x14ac:dyDescent="0.25">
      <c r="J36" t="str">
        <f>IF(AND('Control de rollos'!B36&lt;&gt;"",'Control de rollos'!D36=""),'Control de rollos'!B36,"")</f>
        <v/>
      </c>
      <c r="K36" t="str">
        <f>IF(AND('Control de rollos'!B36&lt;&gt;"",'Control de rollos'!D36=""),IF(LEFT('Control de rollos'!B36,1)="B",'Control de rollos'!B36,""),"")</f>
        <v/>
      </c>
    </row>
    <row r="37" spans="10:11" x14ac:dyDescent="0.25">
      <c r="J37" t="str">
        <f>IF(AND('Control de rollos'!B37&lt;&gt;"",'Control de rollos'!D37=""),'Control de rollos'!B37,"")</f>
        <v/>
      </c>
      <c r="K37" t="str">
        <f>IF(AND('Control de rollos'!B37&lt;&gt;"",'Control de rollos'!D37=""),IF(LEFT('Control de rollos'!B37,1)="B",'Control de rollos'!B37,""),"")</f>
        <v/>
      </c>
    </row>
    <row r="38" spans="10:11" x14ac:dyDescent="0.25">
      <c r="J38" t="str">
        <f>IF(AND('Control de rollos'!B38&lt;&gt;"",'Control de rollos'!D38=""),'Control de rollos'!B38,"")</f>
        <v/>
      </c>
      <c r="K38" t="str">
        <f>IF(AND('Control de rollos'!B38&lt;&gt;"",'Control de rollos'!D38=""),IF(LEFT('Control de rollos'!B38,1)="B",'Control de rollos'!B38,""),"")</f>
        <v/>
      </c>
    </row>
    <row r="39" spans="10:11" x14ac:dyDescent="0.25">
      <c r="J39" t="str">
        <f>IF(AND('Control de rollos'!B39&lt;&gt;"",'Control de rollos'!D39=""),'Control de rollos'!B39,"")</f>
        <v/>
      </c>
      <c r="K39" t="str">
        <f>IF(AND('Control de rollos'!B39&lt;&gt;"",'Control de rollos'!D39=""),IF(LEFT('Control de rollos'!B39,1)="B",'Control de rollos'!B39,""),"")</f>
        <v/>
      </c>
    </row>
    <row r="40" spans="10:11" x14ac:dyDescent="0.25">
      <c r="J40" t="str">
        <f>IF(AND('Control de rollos'!B40&lt;&gt;"",'Control de rollos'!D40=""),'Control de rollos'!B40,"")</f>
        <v/>
      </c>
      <c r="K40" t="str">
        <f>IF(AND('Control de rollos'!B40&lt;&gt;"",'Control de rollos'!D40=""),IF(LEFT('Control de rollos'!B40,1)="B",'Control de rollos'!B40,""),"")</f>
        <v/>
      </c>
    </row>
    <row r="41" spans="10:11" x14ac:dyDescent="0.25">
      <c r="J41" t="str">
        <f>IF(AND('Control de rollos'!B41&lt;&gt;"",'Control de rollos'!D41=""),'Control de rollos'!B41,"")</f>
        <v/>
      </c>
      <c r="K41" t="str">
        <f>IF(AND('Control de rollos'!B41&lt;&gt;"",'Control de rollos'!D41=""),IF(LEFT('Control de rollos'!B41,1)="B",'Control de rollos'!B41,""),"")</f>
        <v/>
      </c>
    </row>
    <row r="42" spans="10:11" x14ac:dyDescent="0.25">
      <c r="J42" t="str">
        <f>IF(AND('Control de rollos'!B42&lt;&gt;"",'Control de rollos'!D42=""),'Control de rollos'!B42,"")</f>
        <v/>
      </c>
      <c r="K42" t="str">
        <f>IF(AND('Control de rollos'!B42&lt;&gt;"",'Control de rollos'!D42=""),IF(LEFT('Control de rollos'!B42,1)="B",'Control de rollos'!B42,""),"")</f>
        <v/>
      </c>
    </row>
    <row r="43" spans="10:11" x14ac:dyDescent="0.25">
      <c r="J43" t="str">
        <f>IF(AND('Control de rollos'!B43&lt;&gt;"",'Control de rollos'!D43=""),'Control de rollos'!B43,"")</f>
        <v/>
      </c>
      <c r="K43" t="str">
        <f>IF(AND('Control de rollos'!B43&lt;&gt;"",'Control de rollos'!D43=""),IF(LEFT('Control de rollos'!B43,1)="B",'Control de rollos'!B43,""),"")</f>
        <v/>
      </c>
    </row>
    <row r="44" spans="10:11" x14ac:dyDescent="0.25">
      <c r="J44" t="str">
        <f>IF(AND('Control de rollos'!B44&lt;&gt;"",'Control de rollos'!D44=""),'Control de rollos'!B44,"")</f>
        <v/>
      </c>
      <c r="K44" t="str">
        <f>IF(AND('Control de rollos'!B44&lt;&gt;"",'Control de rollos'!D44=""),IF(LEFT('Control de rollos'!B44,1)="B",'Control de rollos'!B44,""),"")</f>
        <v/>
      </c>
    </row>
    <row r="45" spans="10:11" x14ac:dyDescent="0.25">
      <c r="J45" t="str">
        <f>IF(AND('Control de rollos'!B45&lt;&gt;"",'Control de rollos'!D45=""),'Control de rollos'!B45,"")</f>
        <v/>
      </c>
      <c r="K45" t="str">
        <f>IF(AND('Control de rollos'!B45&lt;&gt;"",'Control de rollos'!D45=""),IF(LEFT('Control de rollos'!B45,1)="B",'Control de rollos'!B45,""),"")</f>
        <v/>
      </c>
    </row>
    <row r="46" spans="10:11" x14ac:dyDescent="0.25">
      <c r="J46" t="str">
        <f>IF(AND('Control de rollos'!B46&lt;&gt;"",'Control de rollos'!D46=""),'Control de rollos'!B46,"")</f>
        <v/>
      </c>
      <c r="K46" t="str">
        <f>IF(AND('Control de rollos'!B46&lt;&gt;"",'Control de rollos'!D46=""),IF(LEFT('Control de rollos'!B46,1)="B",'Control de rollos'!B46,""),"")</f>
        <v/>
      </c>
    </row>
    <row r="47" spans="10:11" x14ac:dyDescent="0.25">
      <c r="J47" t="str">
        <f>IF(AND('Control de rollos'!B47&lt;&gt;"",'Control de rollos'!D47=""),'Control de rollos'!B47,"")</f>
        <v/>
      </c>
      <c r="K47" t="str">
        <f>IF(AND('Control de rollos'!B47&lt;&gt;"",'Control de rollos'!D47=""),IF(LEFT('Control de rollos'!B47,1)="B",'Control de rollos'!B47,""),"")</f>
        <v/>
      </c>
    </row>
    <row r="48" spans="10:11" x14ac:dyDescent="0.25">
      <c r="J48" t="str">
        <f>IF(AND('Control de rollos'!B48&lt;&gt;"",'Control de rollos'!D48=""),'Control de rollos'!B48,"")</f>
        <v/>
      </c>
      <c r="K48" t="str">
        <f>IF(AND('Control de rollos'!B48&lt;&gt;"",'Control de rollos'!D48=""),IF(LEFT('Control de rollos'!B48,1)="B",'Control de rollos'!B48,""),"")</f>
        <v/>
      </c>
    </row>
    <row r="49" spans="10:11" x14ac:dyDescent="0.25">
      <c r="J49" t="str">
        <f>IF(AND('Control de rollos'!B49&lt;&gt;"",'Control de rollos'!D49=""),'Control de rollos'!B49,"")</f>
        <v/>
      </c>
      <c r="K49" t="str">
        <f>IF(AND('Control de rollos'!B49&lt;&gt;"",'Control de rollos'!D49=""),IF(LEFT('Control de rollos'!B49,1)="B",'Control de rollos'!B49,""),"")</f>
        <v/>
      </c>
    </row>
    <row r="50" spans="10:11" x14ac:dyDescent="0.25">
      <c r="J50" t="str">
        <f>IF(AND('Control de rollos'!B50&lt;&gt;"",'Control de rollos'!D50=""),'Control de rollos'!B50,"")</f>
        <v/>
      </c>
      <c r="K50" t="str">
        <f>IF(AND('Control de rollos'!B50&lt;&gt;"",'Control de rollos'!D50=""),IF(LEFT('Control de rollos'!B50,1)="B",'Control de rollos'!B50,""),"")</f>
        <v/>
      </c>
    </row>
    <row r="51" spans="10:11" x14ac:dyDescent="0.25">
      <c r="J51" t="str">
        <f>IF(AND('Control de rollos'!B51&lt;&gt;"",'Control de rollos'!D51=""),'Control de rollos'!B51,"")</f>
        <v/>
      </c>
      <c r="K51" t="str">
        <f>IF(AND('Control de rollos'!B51&lt;&gt;"",'Control de rollos'!D51=""),IF(LEFT('Control de rollos'!B51,1)="B",'Control de rollos'!B51,""),"")</f>
        <v/>
      </c>
    </row>
    <row r="52" spans="10:11" x14ac:dyDescent="0.25">
      <c r="J52" t="str">
        <f>IF(AND('Control de rollos'!B52&lt;&gt;"",'Control de rollos'!D52=""),'Control de rollos'!B52,"")</f>
        <v/>
      </c>
      <c r="K52" t="str">
        <f>IF(AND('Control de rollos'!B52&lt;&gt;"",'Control de rollos'!D52=""),IF(LEFT('Control de rollos'!B52,1)="B",'Control de rollos'!B52,""),"")</f>
        <v/>
      </c>
    </row>
    <row r="53" spans="10:11" x14ac:dyDescent="0.25">
      <c r="J53" t="str">
        <f>IF(AND('Control de rollos'!B53&lt;&gt;"",'Control de rollos'!D53=""),'Control de rollos'!B53,"")</f>
        <v/>
      </c>
      <c r="K53" t="str">
        <f>IF(AND('Control de rollos'!B53&lt;&gt;"",'Control de rollos'!D53=""),IF(LEFT('Control de rollos'!B53,1)="B",'Control de rollos'!B53,""),"")</f>
        <v/>
      </c>
    </row>
    <row r="54" spans="10:11" x14ac:dyDescent="0.25">
      <c r="J54" t="str">
        <f>IF(AND('Control de rollos'!B54&lt;&gt;"",'Control de rollos'!D54=""),'Control de rollos'!B54,"")</f>
        <v/>
      </c>
      <c r="K54" t="str">
        <f>IF(AND('Control de rollos'!B54&lt;&gt;"",'Control de rollos'!D54=""),IF(LEFT('Control de rollos'!B54,1)="B",'Control de rollos'!B54,""),"")</f>
        <v/>
      </c>
    </row>
    <row r="55" spans="10:11" x14ac:dyDescent="0.25">
      <c r="J55" t="str">
        <f>IF(AND('Control de rollos'!B55&lt;&gt;"",'Control de rollos'!D55=""),'Control de rollos'!B55,"")</f>
        <v/>
      </c>
      <c r="K55" t="str">
        <f>IF(AND('Control de rollos'!B55&lt;&gt;"",'Control de rollos'!D55=""),IF(LEFT('Control de rollos'!B55,1)="B",'Control de rollos'!B55,""),"")</f>
        <v/>
      </c>
    </row>
    <row r="56" spans="10:11" x14ac:dyDescent="0.25">
      <c r="J56" t="str">
        <f>IF(AND('Control de rollos'!B56&lt;&gt;"",'Control de rollos'!D56=""),'Control de rollos'!B56,"")</f>
        <v/>
      </c>
      <c r="K56" t="str">
        <f>IF(AND('Control de rollos'!B56&lt;&gt;"",'Control de rollos'!D56=""),IF(LEFT('Control de rollos'!B56,1)="B",'Control de rollos'!B56,""),"")</f>
        <v/>
      </c>
    </row>
    <row r="57" spans="10:11" x14ac:dyDescent="0.25">
      <c r="J57" t="str">
        <f>IF(AND('Control de rollos'!B57&lt;&gt;"",'Control de rollos'!D57=""),'Control de rollos'!B57,"")</f>
        <v/>
      </c>
      <c r="K57" t="str">
        <f>IF(AND('Control de rollos'!B57&lt;&gt;"",'Control de rollos'!D57=""),IF(LEFT('Control de rollos'!B57,1)="B",'Control de rollos'!B57,""),"")</f>
        <v/>
      </c>
    </row>
    <row r="58" spans="10:11" x14ac:dyDescent="0.25">
      <c r="J58" t="str">
        <f>IF(AND('Control de rollos'!B58&lt;&gt;"",'Control de rollos'!D58=""),'Control de rollos'!B58,"")</f>
        <v/>
      </c>
      <c r="K58" t="str">
        <f>IF(AND('Control de rollos'!B58&lt;&gt;"",'Control de rollos'!D58=""),IF(LEFT('Control de rollos'!B58,1)="B",'Control de rollos'!B58,""),"")</f>
        <v/>
      </c>
    </row>
    <row r="59" spans="10:11" x14ac:dyDescent="0.25">
      <c r="J59" t="str">
        <f>IF(AND('Control de rollos'!B59&lt;&gt;"",'Control de rollos'!D59=""),'Control de rollos'!B59,"")</f>
        <v/>
      </c>
      <c r="K59" t="str">
        <f>IF(AND('Control de rollos'!B59&lt;&gt;"",'Control de rollos'!D59=""),IF(LEFT('Control de rollos'!B59,1)="B",'Control de rollos'!B59,""),"")</f>
        <v/>
      </c>
    </row>
    <row r="60" spans="10:11" x14ac:dyDescent="0.25">
      <c r="J60" t="str">
        <f>IF(AND('Control de rollos'!B60&lt;&gt;"",'Control de rollos'!D60=""),'Control de rollos'!B60,"")</f>
        <v/>
      </c>
      <c r="K60" t="str">
        <f>IF(AND('Control de rollos'!B60&lt;&gt;"",'Control de rollos'!D60=""),IF(LEFT('Control de rollos'!B60,1)="B",'Control de rollos'!B60,""),"")</f>
        <v/>
      </c>
    </row>
    <row r="61" spans="10:11" x14ac:dyDescent="0.25">
      <c r="J61" t="str">
        <f>IF(AND('Control de rollos'!B61&lt;&gt;"",'Control de rollos'!D61=""),'Control de rollos'!B61,"")</f>
        <v/>
      </c>
      <c r="K61" t="str">
        <f>IF(AND('Control de rollos'!B61&lt;&gt;"",'Control de rollos'!D61=""),IF(LEFT('Control de rollos'!B61,1)="B",'Control de rollos'!B61,""),"")</f>
        <v/>
      </c>
    </row>
    <row r="62" spans="10:11" x14ac:dyDescent="0.25">
      <c r="J62" t="str">
        <f>IF(AND('Control de rollos'!B62&lt;&gt;"",'Control de rollos'!D62=""),'Control de rollos'!B62,"")</f>
        <v/>
      </c>
      <c r="K62" t="str">
        <f>IF(AND('Control de rollos'!B62&lt;&gt;"",'Control de rollos'!D62=""),IF(LEFT('Control de rollos'!B62,1)="B",'Control de rollos'!B62,""),"")</f>
        <v/>
      </c>
    </row>
    <row r="63" spans="10:11" x14ac:dyDescent="0.25">
      <c r="J63" t="str">
        <f>IF(AND('Control de rollos'!B63&lt;&gt;"",'Control de rollos'!D63=""),'Control de rollos'!B63,"")</f>
        <v/>
      </c>
      <c r="K63" t="str">
        <f>IF(AND('Control de rollos'!B63&lt;&gt;"",'Control de rollos'!D63=""),IF(LEFT('Control de rollos'!B63,1)="B",'Control de rollos'!B63,""),"")</f>
        <v/>
      </c>
    </row>
    <row r="64" spans="10:11" x14ac:dyDescent="0.25">
      <c r="J64" t="str">
        <f>IF(AND('Control de rollos'!B64&lt;&gt;"",'Control de rollos'!D64=""),'Control de rollos'!B64,"")</f>
        <v/>
      </c>
      <c r="K64" t="str">
        <f>IF(AND('Control de rollos'!B64&lt;&gt;"",'Control de rollos'!D64=""),IF(LEFT('Control de rollos'!B64,1)="B",'Control de rollos'!B64,""),"")</f>
        <v/>
      </c>
    </row>
    <row r="65" spans="10:11" x14ac:dyDescent="0.25">
      <c r="J65" t="str">
        <f>IF(AND('Control de rollos'!B65&lt;&gt;"",'Control de rollos'!D65=""),'Control de rollos'!B65,"")</f>
        <v/>
      </c>
      <c r="K65" t="str">
        <f>IF(AND('Control de rollos'!B65&lt;&gt;"",'Control de rollos'!D65=""),IF(LEFT('Control de rollos'!B65,1)="B",'Control de rollos'!B65,""),"")</f>
        <v/>
      </c>
    </row>
    <row r="66" spans="10:11" x14ac:dyDescent="0.25">
      <c r="J66" t="str">
        <f>IF(AND('Control de rollos'!B66&lt;&gt;"",'Control de rollos'!D66=""),'Control de rollos'!B66,"")</f>
        <v/>
      </c>
      <c r="K66" t="str">
        <f>IF(AND('Control de rollos'!B66&lt;&gt;"",'Control de rollos'!D66=""),IF(LEFT('Control de rollos'!B66,1)="B",'Control de rollos'!B66,""),"")</f>
        <v/>
      </c>
    </row>
    <row r="67" spans="10:11" x14ac:dyDescent="0.25">
      <c r="J67" t="str">
        <f>IF(AND('Control de rollos'!B67&lt;&gt;"",'Control de rollos'!D67=""),'Control de rollos'!B67,"")</f>
        <v/>
      </c>
      <c r="K67" t="str">
        <f>IF(AND('Control de rollos'!B67&lt;&gt;"",'Control de rollos'!D67=""),IF(LEFT('Control de rollos'!B67,1)="B",'Control de rollos'!B67,""),"")</f>
        <v/>
      </c>
    </row>
    <row r="68" spans="10:11" x14ac:dyDescent="0.25">
      <c r="J68" t="str">
        <f>IF(AND('Control de rollos'!B68&lt;&gt;"",'Control de rollos'!D68=""),'Control de rollos'!B68,"")</f>
        <v/>
      </c>
      <c r="K68" t="str">
        <f>IF(AND('Control de rollos'!B68&lt;&gt;"",'Control de rollos'!D68=""),IF(LEFT('Control de rollos'!B68,1)="B",'Control de rollos'!B68,""),"")</f>
        <v/>
      </c>
    </row>
    <row r="69" spans="10:11" x14ac:dyDescent="0.25">
      <c r="J69" t="str">
        <f>IF(AND('Control de rollos'!B69&lt;&gt;"",'Control de rollos'!D69=""),'Control de rollos'!B69,"")</f>
        <v/>
      </c>
      <c r="K69" t="str">
        <f>IF(AND('Control de rollos'!B69&lt;&gt;"",'Control de rollos'!D69=""),IF(LEFT('Control de rollos'!B69,1)="B",'Control de rollos'!B69,""),"")</f>
        <v/>
      </c>
    </row>
    <row r="70" spans="10:11" x14ac:dyDescent="0.25">
      <c r="J70" t="str">
        <f>IF(AND('Control de rollos'!B70&lt;&gt;"",'Control de rollos'!D70=""),'Control de rollos'!B70,"")</f>
        <v/>
      </c>
      <c r="K70" t="str">
        <f>IF(AND('Control de rollos'!B70&lt;&gt;"",'Control de rollos'!D70=""),IF(LEFT('Control de rollos'!B70,1)="B",'Control de rollos'!B70,""),"")</f>
        <v/>
      </c>
    </row>
    <row r="71" spans="10:11" x14ac:dyDescent="0.25">
      <c r="J71" t="str">
        <f>IF(AND('Control de rollos'!B71&lt;&gt;"",'Control de rollos'!D71=""),'Control de rollos'!B71,"")</f>
        <v/>
      </c>
      <c r="K71" t="str">
        <f>IF(AND('Control de rollos'!B71&lt;&gt;"",'Control de rollos'!D71=""),IF(LEFT('Control de rollos'!B71,1)="B",'Control de rollos'!B71,""),"")</f>
        <v/>
      </c>
    </row>
    <row r="72" spans="10:11" x14ac:dyDescent="0.25">
      <c r="J72" t="str">
        <f>IF(AND('Control de rollos'!B72&lt;&gt;"",'Control de rollos'!D72=""),'Control de rollos'!B72,"")</f>
        <v/>
      </c>
      <c r="K72" t="str">
        <f>IF(AND('Control de rollos'!B72&lt;&gt;"",'Control de rollos'!D72=""),IF(LEFT('Control de rollos'!B72,1)="B",'Control de rollos'!B72,""),"")</f>
        <v/>
      </c>
    </row>
    <row r="73" spans="10:11" x14ac:dyDescent="0.25">
      <c r="J73" t="str">
        <f>IF(AND('Control de rollos'!B73&lt;&gt;"",'Control de rollos'!D73=""),'Control de rollos'!B73,"")</f>
        <v/>
      </c>
      <c r="K73" t="str">
        <f>IF(AND('Control de rollos'!B73&lt;&gt;"",'Control de rollos'!D73=""),IF(LEFT('Control de rollos'!B73,1)="B",'Control de rollos'!B73,""),"")</f>
        <v/>
      </c>
    </row>
    <row r="74" spans="10:11" x14ac:dyDescent="0.25">
      <c r="J74" t="str">
        <f>IF(AND('Control de rollos'!B74&lt;&gt;"",'Control de rollos'!D74=""),'Control de rollos'!B74,"")</f>
        <v/>
      </c>
      <c r="K74" t="str">
        <f>IF(AND('Control de rollos'!B74&lt;&gt;"",'Control de rollos'!D74=""),IF(LEFT('Control de rollos'!B74,1)="B",'Control de rollos'!B74,""),"")</f>
        <v/>
      </c>
    </row>
    <row r="75" spans="10:11" x14ac:dyDescent="0.25">
      <c r="J75" t="str">
        <f>IF(AND('Control de rollos'!B75&lt;&gt;"",'Control de rollos'!D75=""),'Control de rollos'!B75,"")</f>
        <v/>
      </c>
      <c r="K75" t="str">
        <f>IF(AND('Control de rollos'!B75&lt;&gt;"",'Control de rollos'!D75=""),IF(LEFT('Control de rollos'!B75,1)="B",'Control de rollos'!B75,""),"")</f>
        <v/>
      </c>
    </row>
    <row r="76" spans="10:11" x14ac:dyDescent="0.25">
      <c r="J76" t="str">
        <f>IF(AND('Control de rollos'!B76&lt;&gt;"",'Control de rollos'!D76=""),'Control de rollos'!B76,"")</f>
        <v/>
      </c>
      <c r="K76" t="str">
        <f>IF(AND('Control de rollos'!B76&lt;&gt;"",'Control de rollos'!D76=""),IF(LEFT('Control de rollos'!B76,1)="B",'Control de rollos'!B76,""),"")</f>
        <v/>
      </c>
    </row>
    <row r="77" spans="10:11" x14ac:dyDescent="0.25">
      <c r="J77" t="str">
        <f>IF(AND('Control de rollos'!B77&lt;&gt;"",'Control de rollos'!D77=""),'Control de rollos'!B77,"")</f>
        <v/>
      </c>
      <c r="K77" t="str">
        <f>IF(AND('Control de rollos'!B77&lt;&gt;"",'Control de rollos'!D77=""),IF(LEFT('Control de rollos'!B77,1)="B",'Control de rollos'!B77,""),"")</f>
        <v/>
      </c>
    </row>
    <row r="78" spans="10:11" x14ac:dyDescent="0.25">
      <c r="J78" t="str">
        <f>IF(AND('Control de rollos'!B78&lt;&gt;"",'Control de rollos'!D78=""),'Control de rollos'!B78,"")</f>
        <v/>
      </c>
      <c r="K78" t="str">
        <f>IF(AND('Control de rollos'!B78&lt;&gt;"",'Control de rollos'!D78=""),IF(LEFT('Control de rollos'!B78,1)="B",'Control de rollos'!B78,""),"")</f>
        <v/>
      </c>
    </row>
    <row r="79" spans="10:11" x14ac:dyDescent="0.25">
      <c r="J79" t="str">
        <f>IF(AND('Control de rollos'!B79&lt;&gt;"",'Control de rollos'!D79=""),'Control de rollos'!B79,"")</f>
        <v/>
      </c>
      <c r="K79" t="str">
        <f>IF(AND('Control de rollos'!B79&lt;&gt;"",'Control de rollos'!D79=""),IF(LEFT('Control de rollos'!B79,1)="B",'Control de rollos'!B79,""),"")</f>
        <v/>
      </c>
    </row>
    <row r="80" spans="10:11" x14ac:dyDescent="0.25">
      <c r="J80" t="str">
        <f>IF(AND('Control de rollos'!B80&lt;&gt;"",'Control de rollos'!D80=""),'Control de rollos'!B80,"")</f>
        <v/>
      </c>
      <c r="K80" t="str">
        <f>IF(AND('Control de rollos'!B80&lt;&gt;"",'Control de rollos'!D80=""),IF(LEFT('Control de rollos'!B80,1)="B",'Control de rollos'!B80,""),"")</f>
        <v/>
      </c>
    </row>
    <row r="81" spans="10:11" x14ac:dyDescent="0.25">
      <c r="J81" t="str">
        <f>IF(AND('Control de rollos'!B81&lt;&gt;"",'Control de rollos'!D81=""),'Control de rollos'!B81,"")</f>
        <v/>
      </c>
      <c r="K81" t="str">
        <f>IF(AND('Control de rollos'!B81&lt;&gt;"",'Control de rollos'!D81=""),IF(LEFT('Control de rollos'!B81,1)="B",'Control de rollos'!B81,""),"")</f>
        <v/>
      </c>
    </row>
    <row r="82" spans="10:11" x14ac:dyDescent="0.25">
      <c r="J82" t="str">
        <f>IF(AND('Control de rollos'!B82&lt;&gt;"",'Control de rollos'!D82=""),'Control de rollos'!B82,"")</f>
        <v/>
      </c>
      <c r="K82" t="str">
        <f>IF(AND('Control de rollos'!B82&lt;&gt;"",'Control de rollos'!D82=""),IF(LEFT('Control de rollos'!B82,1)="B",'Control de rollos'!B82,""),"")</f>
        <v/>
      </c>
    </row>
    <row r="83" spans="10:11" x14ac:dyDescent="0.25">
      <c r="J83" t="str">
        <f>IF(AND('Control de rollos'!B83&lt;&gt;"",'Control de rollos'!D83=""),'Control de rollos'!B83,"")</f>
        <v/>
      </c>
      <c r="K83" t="str">
        <f>IF(AND('Control de rollos'!B83&lt;&gt;"",'Control de rollos'!D83=""),IF(LEFT('Control de rollos'!B83,1)="B",'Control de rollos'!B83,""),"")</f>
        <v/>
      </c>
    </row>
    <row r="84" spans="10:11" x14ac:dyDescent="0.25">
      <c r="J84" t="str">
        <f>IF(AND('Control de rollos'!B84&lt;&gt;"",'Control de rollos'!D84=""),'Control de rollos'!B84,"")</f>
        <v/>
      </c>
      <c r="K84" t="str">
        <f>IF(AND('Control de rollos'!B84&lt;&gt;"",'Control de rollos'!D84=""),IF(LEFT('Control de rollos'!B84,1)="B",'Control de rollos'!B84,""),"")</f>
        <v/>
      </c>
    </row>
    <row r="85" spans="10:11" x14ac:dyDescent="0.25">
      <c r="J85" t="str">
        <f>IF(AND('Control de rollos'!B85&lt;&gt;"",'Control de rollos'!D85=""),'Control de rollos'!B85,"")</f>
        <v/>
      </c>
      <c r="K85" t="str">
        <f>IF(AND('Control de rollos'!B85&lt;&gt;"",'Control de rollos'!D85=""),IF(LEFT('Control de rollos'!B85,1)="B",'Control de rollos'!B85,""),"")</f>
        <v/>
      </c>
    </row>
    <row r="86" spans="10:11" x14ac:dyDescent="0.25">
      <c r="J86" t="str">
        <f>IF(AND('Control de rollos'!B86&lt;&gt;"",'Control de rollos'!D86=""),'Control de rollos'!B86,"")</f>
        <v/>
      </c>
      <c r="K86" t="str">
        <f>IF(AND('Control de rollos'!B86&lt;&gt;"",'Control de rollos'!D86=""),IF(LEFT('Control de rollos'!B86,1)="B",'Control de rollos'!B86,""),"")</f>
        <v/>
      </c>
    </row>
    <row r="87" spans="10:11" x14ac:dyDescent="0.25">
      <c r="J87" t="str">
        <f>IF(AND('Control de rollos'!B87&lt;&gt;"",'Control de rollos'!D87=""),'Control de rollos'!B87,"")</f>
        <v/>
      </c>
      <c r="K87" t="str">
        <f>IF(AND('Control de rollos'!B87&lt;&gt;"",'Control de rollos'!D87=""),IF(LEFT('Control de rollos'!B87,1)="B",'Control de rollos'!B87,""),"")</f>
        <v/>
      </c>
    </row>
    <row r="88" spans="10:11" x14ac:dyDescent="0.25">
      <c r="J88" t="str">
        <f>IF(AND('Control de rollos'!B88&lt;&gt;"",'Control de rollos'!D88=""),'Control de rollos'!B88,"")</f>
        <v/>
      </c>
      <c r="K88" t="str">
        <f>IF(AND('Control de rollos'!B88&lt;&gt;"",'Control de rollos'!D88=""),IF(LEFT('Control de rollos'!B88,1)="B",'Control de rollos'!B88,""),"")</f>
        <v/>
      </c>
    </row>
    <row r="89" spans="10:11" x14ac:dyDescent="0.25">
      <c r="J89" t="str">
        <f>IF(AND('Control de rollos'!B89&lt;&gt;"",'Control de rollos'!D89=""),'Control de rollos'!B89,"")</f>
        <v/>
      </c>
      <c r="K89" t="str">
        <f>IF(AND('Control de rollos'!B89&lt;&gt;"",'Control de rollos'!D89=""),IF(LEFT('Control de rollos'!B89,1)="B",'Control de rollos'!B89,""),"")</f>
        <v/>
      </c>
    </row>
    <row r="90" spans="10:11" x14ac:dyDescent="0.25">
      <c r="J90" t="str">
        <f>IF(AND('Control de rollos'!B90&lt;&gt;"",'Control de rollos'!D90=""),'Control de rollos'!B90,"")</f>
        <v/>
      </c>
      <c r="K90" t="str">
        <f>IF(AND('Control de rollos'!B90&lt;&gt;"",'Control de rollos'!D90=""),IF(LEFT('Control de rollos'!B90,1)="B",'Control de rollos'!B90,""),"")</f>
        <v/>
      </c>
    </row>
    <row r="91" spans="10:11" x14ac:dyDescent="0.25">
      <c r="J91" t="str">
        <f>IF(AND('Control de rollos'!B91&lt;&gt;"",'Control de rollos'!D91=""),'Control de rollos'!B91,"")</f>
        <v/>
      </c>
      <c r="K91" t="str">
        <f>IF(AND('Control de rollos'!B91&lt;&gt;"",'Control de rollos'!D91=""),IF(LEFT('Control de rollos'!B91,1)="B",'Control de rollos'!B91,""),"")</f>
        <v/>
      </c>
    </row>
    <row r="92" spans="10:11" x14ac:dyDescent="0.25">
      <c r="J92" t="str">
        <f>IF(AND('Control de rollos'!B92&lt;&gt;"",'Control de rollos'!D92=""),'Control de rollos'!B92,"")</f>
        <v/>
      </c>
      <c r="K92" t="str">
        <f>IF(AND('Control de rollos'!B92&lt;&gt;"",'Control de rollos'!D92=""),IF(LEFT('Control de rollos'!B92,1)="B",'Control de rollos'!B92,""),"")</f>
        <v/>
      </c>
    </row>
    <row r="93" spans="10:11" x14ac:dyDescent="0.25">
      <c r="J93" t="str">
        <f>IF(AND('Control de rollos'!B93&lt;&gt;"",'Control de rollos'!D93=""),'Control de rollos'!B93,"")</f>
        <v/>
      </c>
      <c r="K93" t="str">
        <f>IF(AND('Control de rollos'!B93&lt;&gt;"",'Control de rollos'!D93=""),IF(LEFT('Control de rollos'!B93,1)="B",'Control de rollos'!B93,""),"")</f>
        <v/>
      </c>
    </row>
    <row r="94" spans="10:11" x14ac:dyDescent="0.25">
      <c r="J94" t="str">
        <f>IF(AND('Control de rollos'!B94&lt;&gt;"",'Control de rollos'!D94=""),'Control de rollos'!B94,"")</f>
        <v/>
      </c>
      <c r="K94" t="str">
        <f>IF(AND('Control de rollos'!B94&lt;&gt;"",'Control de rollos'!D94=""),IF(LEFT('Control de rollos'!B94,1)="B",'Control de rollos'!B94,""),"")</f>
        <v/>
      </c>
    </row>
    <row r="95" spans="10:11" x14ac:dyDescent="0.25">
      <c r="J95" t="str">
        <f>IF(AND('Control de rollos'!B95&lt;&gt;"",'Control de rollos'!D95=""),'Control de rollos'!B95,"")</f>
        <v/>
      </c>
      <c r="K95" t="str">
        <f>IF(AND('Control de rollos'!B95&lt;&gt;"",'Control de rollos'!D95=""),IF(LEFT('Control de rollos'!B95,1)="B",'Control de rollos'!B95,""),"")</f>
        <v/>
      </c>
    </row>
    <row r="96" spans="10:11" x14ac:dyDescent="0.25">
      <c r="J96" t="str">
        <f>IF(AND('Control de rollos'!B96&lt;&gt;"",'Control de rollos'!D96=""),'Control de rollos'!B96,"")</f>
        <v/>
      </c>
      <c r="K96" t="str">
        <f>IF(AND('Control de rollos'!B96&lt;&gt;"",'Control de rollos'!D96=""),IF(LEFT('Control de rollos'!B96,1)="B",'Control de rollos'!B96,""),"")</f>
        <v/>
      </c>
    </row>
    <row r="97" spans="10:11" x14ac:dyDescent="0.25">
      <c r="J97" t="str">
        <f>IF(AND('Control de rollos'!B97&lt;&gt;"",'Control de rollos'!D97=""),'Control de rollos'!B97,"")</f>
        <v/>
      </c>
      <c r="K97" t="str">
        <f>IF(AND('Control de rollos'!B97&lt;&gt;"",'Control de rollos'!D97=""),IF(LEFT('Control de rollos'!B97,1)="B",'Control de rollos'!B97,""),"")</f>
        <v/>
      </c>
    </row>
    <row r="98" spans="10:11" x14ac:dyDescent="0.25">
      <c r="J98" t="str">
        <f>IF(AND('Control de rollos'!B98&lt;&gt;"",'Control de rollos'!D98=""),'Control de rollos'!B98,"")</f>
        <v/>
      </c>
      <c r="K98" t="str">
        <f>IF(AND('Control de rollos'!B98&lt;&gt;"",'Control de rollos'!D98=""),IF(LEFT('Control de rollos'!B98,1)="B",'Control de rollos'!B98,""),"")</f>
        <v/>
      </c>
    </row>
    <row r="99" spans="10:11" x14ac:dyDescent="0.25">
      <c r="J99" t="str">
        <f>IF(AND('Control de rollos'!B99&lt;&gt;"",'Control de rollos'!D99=""),'Control de rollos'!B99,"")</f>
        <v/>
      </c>
      <c r="K99" t="str">
        <f>IF(AND('Control de rollos'!B99&lt;&gt;"",'Control de rollos'!D99=""),IF(LEFT('Control de rollos'!B99,1)="B",'Control de rollos'!B99,""),"")</f>
        <v/>
      </c>
    </row>
    <row r="100" spans="10:11" x14ac:dyDescent="0.25">
      <c r="J100" t="str">
        <f>IF(AND('Control de rollos'!B100&lt;&gt;"",'Control de rollos'!D100=""),'Control de rollos'!B100,"")</f>
        <v/>
      </c>
      <c r="K100" t="str">
        <f>IF(AND('Control de rollos'!B100&lt;&gt;"",'Control de rollos'!D100=""),IF(LEFT('Control de rollos'!B100,1)="B",'Control de rollos'!B100,""),"")</f>
        <v/>
      </c>
    </row>
    <row r="101" spans="10:11" x14ac:dyDescent="0.25">
      <c r="J101" t="str">
        <f>IF(AND('Control de rollos'!B101&lt;&gt;"",'Control de rollos'!D101=""),'Control de rollos'!B101,"")</f>
        <v/>
      </c>
      <c r="K101" t="str">
        <f>IF(AND('Control de rollos'!B101&lt;&gt;"",'Control de rollos'!D101=""),IF(LEFT('Control de rollos'!B101,1)="B",'Control de rollos'!B101,""),"")</f>
        <v/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Registro de trabajos</vt:lpstr>
      <vt:lpstr>Control de rollos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0</cp:revision>
  <dcterms:created xsi:type="dcterms:W3CDTF">2026-09-09T00:13:06Z</dcterms:created>
  <dcterms:modified xsi:type="dcterms:W3CDTF">2026-09-19T16:20:01Z</dcterms:modified>
  <dc:language>en-US</dc:language>
</cp:coreProperties>
</file>