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Resumen_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 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2060"/>
      <sz val="10"/>
    </font>
    <font>
      <name val="Calibri"/>
      <b val="1"/>
      <sz val="9"/>
    </font>
    <font>
      <name val="Calibri"/>
      <sz val="9"/>
    </font>
    <font>
      <name val="Calibri"/>
      <b val="1"/>
      <sz val="11"/>
    </font>
    <font>
      <name val="Calibri"/>
      <b val="1"/>
      <color rgb="001F4E79"/>
      <sz val="12"/>
    </font>
    <font>
      <name val="Calibri"/>
      <i val="1"/>
      <sz val="10"/>
    </font>
    <font>
      <name val="Calibri"/>
      <b val="1"/>
      <color rgb="00FFFFFF"/>
      <sz val="9"/>
    </font>
    <font>
      <name val="Calibri"/>
      <sz val="8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</fills>
  <borders count="6">
    <border>
      <left/>
      <right/>
      <top/>
      <bottom/>
      <diagonal/>
    </border>
    <border>
      <top style="thin">
        <color rgb="00A6A6A6"/>
      </top>
      <bottom style="medium">
        <color rgb="001F4E79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double">
        <color rgb="00000000"/>
      </bottom>
    </border>
    <border>
      <top style="thin">
        <color rgb="00A6A6A6"/>
      </top>
      <bottom style="double">
        <color rgb="00000000"/>
      </bottom>
    </border>
    <border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 indent="1"/>
    </xf>
    <xf numFmtId="0" fontId="0" fillId="3" borderId="2" pivotButton="0" quotePrefix="0" xfId="0"/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3" fillId="7" borderId="2" applyAlignment="1" pivotButton="0" quotePrefix="0" xfId="0">
      <alignment horizontal="right" vertical="center"/>
    </xf>
    <xf numFmtId="164" fontId="3" fillId="7" borderId="2" applyAlignment="1" pivotButton="0" quotePrefix="0" xfId="0">
      <alignment horizontal="right" vertical="center"/>
    </xf>
    <xf numFmtId="0" fontId="0" fillId="0" borderId="3" pivotButton="0" quotePrefix="0" xfId="0"/>
    <xf numFmtId="0" fontId="3" fillId="7" borderId="3" applyAlignment="1" pivotButton="0" quotePrefix="0" xfId="0">
      <alignment horizontal="right" vertical="center"/>
    </xf>
    <xf numFmtId="164" fontId="3" fillId="7" borderId="3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0" fontId="3" fillId="3" borderId="3" applyAlignment="1" pivotButton="0" quotePrefix="0" xfId="0">
      <alignment horizontal="left" vertical="center"/>
    </xf>
    <xf numFmtId="164" fontId="3" fillId="3" borderId="3" applyAlignment="1" pivotButton="0" quotePrefix="0" xfId="0">
      <alignment horizontal="right" vertical="center"/>
    </xf>
    <xf numFmtId="0" fontId="5" fillId="8" borderId="4" pivotButton="0" quotePrefix="0" xfId="0"/>
    <xf numFmtId="0" fontId="0" fillId="8" borderId="4" pivotButton="0" quotePrefix="0" xfId="0"/>
    <xf numFmtId="164" fontId="5" fillId="8" borderId="4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0" fontId="3" fillId="7" borderId="5" applyAlignment="1" pivotButton="0" quotePrefix="0" xfId="0">
      <alignment horizontal="left" vertical="center"/>
    </xf>
    <xf numFmtId="0" fontId="0" fillId="7" borderId="5" pivotButton="0" quotePrefix="0" xfId="0"/>
    <xf numFmtId="164" fontId="3" fillId="7" borderId="5" applyAlignment="1" pivotButton="0" quotePrefix="0" xfId="0">
      <alignment horizontal="right" vertical="center"/>
    </xf>
    <xf numFmtId="10" fontId="3" fillId="7" borderId="5" applyAlignment="1" pivotButton="0" quotePrefix="0" xfId="0">
      <alignment horizontal="right" vertical="center"/>
    </xf>
    <xf numFmtId="0" fontId="2" fillId="8" borderId="4" applyAlignment="1" pivotButton="0" quotePrefix="0" xfId="0">
      <alignment horizontal="left" vertical="center"/>
    </xf>
    <xf numFmtId="164" fontId="2" fillId="8" borderId="4" applyAlignment="1" pivotButton="0" quotePrefix="0" xfId="0">
      <alignment horizontal="right" vertical="center"/>
    </xf>
    <xf numFmtId="0" fontId="2" fillId="8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2" customWidth="1" min="3" max="3"/>
    <col width="30" customWidth="1" min="4" max="4"/>
    <col width="10" customWidth="1" min="5" max="5"/>
    <col width="14" customWidth="1" min="6" max="6"/>
    <col width="14" customWidth="1" min="7" max="7"/>
    <col width="32" customWidth="1" min="8" max="8"/>
    <col width="10" customWidth="1" min="9" max="9"/>
    <col width="12" customWidth="1" min="10" max="10"/>
    <col width="11" customWidth="1" min="11" max="11"/>
    <col width="14" customWidth="1" min="12" max="12"/>
    <col width="32" customWidth="1" min="13" max="13"/>
    <col width="10" customWidth="1" min="14" max="14"/>
    <col width="14" customWidth="1" min="15" max="15"/>
    <col width="14" customWidth="1" min="16" max="16"/>
    <col width="4" customWidth="1" min="17" max="17"/>
  </cols>
  <sheetData>
    <row r="2" ht="24" customHeight="1">
      <c r="B2" s="1" t="inlineStr">
        <is>
          <t>FASE 1.0: GESTIÓN DEL PROYECTO (LÍNEA BASE Y DIRECCIÓN)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0" customHeight="1">
      <c r="B3" s="3" t="inlineStr">
        <is>
          <t>PAQUETE DE TRABAJO / ENTREGABLE</t>
        </is>
      </c>
      <c r="D3" s="4" t="inlineStr">
        <is>
          <t>EDT 1.1 – Acta de Constitución y Validación Inicial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6" t="inlineStr">
        <is>
          <t>ACTIVIDAD</t>
        </is>
      </c>
      <c r="C4" s="5" t="n"/>
      <c r="D4" s="6" t="inlineStr">
        <is>
          <t>COSTOS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6" t="inlineStr">
        <is>
          <t>CODIGO</t>
        </is>
      </c>
      <c r="C5" s="6" t="inlineStr">
        <is>
          <t>DESCRIPCION</t>
        </is>
      </c>
      <c r="D5" s="7" t="inlineStr">
        <is>
          <t>RECURSOS HUMANOS</t>
        </is>
      </c>
      <c r="E5" s="8" t="n"/>
      <c r="F5" s="8" t="n"/>
      <c r="G5" s="8" t="n"/>
      <c r="H5" s="9" t="inlineStr">
        <is>
          <t>MAQUINARIA/EQUIPOS/INFRAESTRUCTURA</t>
        </is>
      </c>
      <c r="I5" s="10" t="n"/>
      <c r="J5" s="10" t="n"/>
      <c r="K5" s="10" t="n"/>
      <c r="L5" s="10" t="n"/>
      <c r="M5" s="11" t="inlineStr">
        <is>
          <t>CONSUMIBLES/SERVICIOS</t>
        </is>
      </c>
      <c r="N5" s="12" t="n"/>
      <c r="O5" s="12" t="n"/>
      <c r="P5" s="12" t="n"/>
    </row>
    <row r="6">
      <c r="D6" s="7" t="inlineStr">
        <is>
          <t>Nombre del Recurso</t>
        </is>
      </c>
      <c r="E6" s="7" t="inlineStr">
        <is>
          <t>Numero de Horas</t>
        </is>
      </c>
      <c r="F6" s="7" t="inlineStr">
        <is>
          <t>Costo x Hora</t>
        </is>
      </c>
      <c r="G6" s="7" t="inlineStr">
        <is>
          <t>Costo Total</t>
        </is>
      </c>
      <c r="H6" s="9" t="inlineStr">
        <is>
          <t>Nombre del Recurso</t>
        </is>
      </c>
      <c r="I6" s="9" t="inlineStr">
        <is>
          <t>Cantidad</t>
        </is>
      </c>
      <c r="J6" s="9" t="inlineStr">
        <is>
          <t>Costo x día</t>
        </is>
      </c>
      <c r="K6" s="9" t="inlineStr">
        <is>
          <t>Nro. De días</t>
        </is>
      </c>
      <c r="L6" s="9" t="inlineStr">
        <is>
          <t>Total</t>
        </is>
      </c>
      <c r="M6" s="11" t="inlineStr">
        <is>
          <t>Nombre del Recurso</t>
        </is>
      </c>
      <c r="N6" s="11" t="inlineStr">
        <is>
          <t>Cantidad</t>
        </is>
      </c>
      <c r="O6" s="11" t="inlineStr">
        <is>
          <t>Costo Unitario</t>
        </is>
      </c>
      <c r="P6" s="11" t="inlineStr">
        <is>
          <t>IMPORTE</t>
        </is>
      </c>
    </row>
    <row r="7">
      <c r="B7" s="13" t="inlineStr">
        <is>
          <t>1.1.1</t>
        </is>
      </c>
      <c r="C7" s="14" t="inlineStr">
        <is>
          <t>Elaborar el Acta de Constitución</t>
        </is>
      </c>
      <c r="D7" s="15" t="inlineStr">
        <is>
          <t>Gerardo Plasencia (Líder)</t>
        </is>
      </c>
      <c r="E7" s="16" t="n">
        <v>4</v>
      </c>
      <c r="F7" s="17" t="n">
        <v>15</v>
      </c>
      <c r="G7" s="17">
        <f>E7*F7</f>
        <v/>
      </c>
      <c r="H7" s="15" t="inlineStr">
        <is>
          <t>Alquiler Laptop desarrollo (i7/16GB)</t>
        </is>
      </c>
      <c r="I7" s="16" t="n">
        <v>1</v>
      </c>
      <c r="J7" s="17" t="n">
        <v>5</v>
      </c>
      <c r="K7" s="16" t="n">
        <v>4</v>
      </c>
      <c r="L7" s="17">
        <f>I7*J7*K7</f>
        <v/>
      </c>
      <c r="M7" s="15" t="inlineStr">
        <is>
          <t>Energía eléctrica estación de trabajo</t>
        </is>
      </c>
      <c r="N7" s="16" t="n">
        <v>1</v>
      </c>
      <c r="O7" s="17" t="n">
        <v>10</v>
      </c>
      <c r="P7" s="17">
        <f>N7*O7</f>
        <v/>
      </c>
    </row>
    <row r="8"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5" t="inlineStr">
        <is>
          <t>Internet alta velocidad prorrateado</t>
        </is>
      </c>
      <c r="N8" s="16" t="n">
        <v>1</v>
      </c>
      <c r="O8" s="17" t="n">
        <v>10</v>
      </c>
      <c r="P8" s="17">
        <f>N8*O8</f>
        <v/>
      </c>
    </row>
    <row r="9">
      <c r="B9" s="18" t="n"/>
      <c r="C9" s="19" t="inlineStr">
        <is>
          <t>SUB TOTAL ACTIVIDAD</t>
        </is>
      </c>
      <c r="D9" s="20">
        <f>SUM(G7:G8)</f>
        <v/>
      </c>
      <c r="E9" s="18" t="n"/>
      <c r="F9" s="18" t="n"/>
      <c r="G9" s="18" t="n"/>
      <c r="H9" s="20">
        <f>SUM(L7:L8)</f>
        <v/>
      </c>
      <c r="I9" s="18" t="n"/>
      <c r="J9" s="18" t="n"/>
      <c r="K9" s="18" t="n"/>
      <c r="L9" s="18" t="n"/>
      <c r="M9" s="20">
        <f>SUM(P7:P8)</f>
        <v/>
      </c>
      <c r="N9" s="18" t="n"/>
      <c r="O9" s="18" t="n"/>
      <c r="P9" s="18" t="n"/>
    </row>
    <row r="10">
      <c r="B10" s="21" t="n"/>
      <c r="C10" s="22" t="inlineStr">
        <is>
          <t>TOTAL ACTIVIDAD</t>
        </is>
      </c>
      <c r="D10" s="23">
        <f>D9+H9+M9</f>
        <v/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>
      <c r="B11" s="13" t="inlineStr">
        <is>
          <t>1.1.2</t>
        </is>
      </c>
      <c r="C11" s="14" t="inlineStr">
        <is>
          <t>Validar el Acta con Gerencia</t>
        </is>
      </c>
      <c r="D11" s="15" t="inlineStr">
        <is>
          <t>Gerardo Plasencia (Líder)</t>
        </is>
      </c>
      <c r="E11" s="16" t="n">
        <v>4</v>
      </c>
      <c r="F11" s="17" t="n">
        <v>15</v>
      </c>
      <c r="G11" s="17">
        <f>E11*F11</f>
        <v/>
      </c>
      <c r="H11" s="15" t="inlineStr">
        <is>
          <t>Alquiler Laptop desarrollo</t>
        </is>
      </c>
      <c r="I11" s="16" t="n">
        <v>1</v>
      </c>
      <c r="J11" s="17" t="n">
        <v>5</v>
      </c>
      <c r="K11" s="16" t="n">
        <v>3</v>
      </c>
      <c r="L11" s="17">
        <f>I11*J11*K11</f>
        <v/>
      </c>
      <c r="M11" s="15" t="inlineStr">
        <is>
          <t>Impresión de actas y energía</t>
        </is>
      </c>
      <c r="N11" s="16" t="n">
        <v>1</v>
      </c>
      <c r="O11" s="17" t="n">
        <v>10</v>
      </c>
      <c r="P11" s="17">
        <f>N11*O11</f>
        <v/>
      </c>
    </row>
    <row r="12">
      <c r="B12" s="18" t="n"/>
      <c r="C12" s="18" t="n"/>
      <c r="D12" s="18" t="n"/>
      <c r="E12" s="18" t="n"/>
      <c r="F12" s="18" t="n"/>
      <c r="G12" s="18" t="n"/>
      <c r="H12" s="15" t="inlineStr">
        <is>
          <t>Movilidad traslado a taller imprenta</t>
        </is>
      </c>
      <c r="I12" s="16" t="n">
        <v>1</v>
      </c>
      <c r="J12" s="17" t="n">
        <v>15</v>
      </c>
      <c r="K12" s="16" t="n">
        <v>1</v>
      </c>
      <c r="L12" s="17">
        <f>I12*J12*K12</f>
        <v/>
      </c>
      <c r="M12" s="18" t="n"/>
      <c r="N12" s="18" t="n"/>
      <c r="O12" s="18" t="n"/>
      <c r="P12" s="18" t="n"/>
    </row>
    <row r="13">
      <c r="B13" s="18" t="n"/>
      <c r="C13" s="19" t="inlineStr">
        <is>
          <t>SUB TOTAL ACTIVIDAD</t>
        </is>
      </c>
      <c r="D13" s="20">
        <f>SUM(G11:G12)</f>
        <v/>
      </c>
      <c r="E13" s="18" t="n"/>
      <c r="F13" s="18" t="n"/>
      <c r="G13" s="18" t="n"/>
      <c r="H13" s="20">
        <f>SUM(L11:L12)</f>
        <v/>
      </c>
      <c r="I13" s="18" t="n"/>
      <c r="J13" s="18" t="n"/>
      <c r="K13" s="18" t="n"/>
      <c r="L13" s="18" t="n"/>
      <c r="M13" s="20">
        <f>SUM(P11:P12)</f>
        <v/>
      </c>
      <c r="N13" s="18" t="n"/>
      <c r="O13" s="18" t="n"/>
      <c r="P13" s="18" t="n"/>
    </row>
    <row r="14">
      <c r="B14" s="21" t="n"/>
      <c r="C14" s="22" t="inlineStr">
        <is>
          <t>TOTAL ACTIVIDAD</t>
        </is>
      </c>
      <c r="D14" s="23">
        <f>D13+H13+M13</f>
        <v/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</row>
    <row r="15">
      <c r="B15" s="24" t="inlineStr">
        <is>
          <t>SUB TOTAL PAQUETE</t>
        </is>
      </c>
      <c r="C15" s="18" t="n"/>
      <c r="D15" s="25">
        <f>SUM(D9,D13)</f>
        <v/>
      </c>
      <c r="E15" s="18" t="n"/>
      <c r="F15" s="18" t="n"/>
      <c r="G15" s="18" t="n"/>
      <c r="H15" s="25">
        <f>SUM(H9,H13)</f>
        <v/>
      </c>
      <c r="I15" s="18" t="n"/>
      <c r="J15" s="18" t="n"/>
      <c r="K15" s="18" t="n"/>
      <c r="L15" s="18" t="n"/>
      <c r="M15" s="25">
        <f>SUM(M9,M13)</f>
        <v/>
      </c>
      <c r="N15" s="18" t="n"/>
      <c r="O15" s="18" t="n"/>
      <c r="P15" s="18" t="n"/>
    </row>
    <row r="16">
      <c r="B16" s="26" t="inlineStr">
        <is>
          <t>TOTAL PAQUETE</t>
        </is>
      </c>
      <c r="C16" s="21" t="n"/>
      <c r="D16" s="27">
        <f>D15+H15+M15</f>
        <v/>
      </c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</row>
    <row r="18" ht="20" customHeight="1">
      <c r="B18" s="3" t="inlineStr">
        <is>
          <t>PAQUETE DE TRABAJO / ENTREGABLE</t>
        </is>
      </c>
      <c r="D18" s="4" t="inlineStr">
        <is>
          <t>EDT 1.2 – Business Case y Viabilidad Económica</t>
        </is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B19" s="6" t="inlineStr">
        <is>
          <t>ACTIVIDAD</t>
        </is>
      </c>
      <c r="C19" s="5" t="n"/>
      <c r="D19" s="6" t="inlineStr">
        <is>
          <t>COSTOS</t>
        </is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B20" s="6" t="inlineStr">
        <is>
          <t>CODIGO</t>
        </is>
      </c>
      <c r="C20" s="6" t="inlineStr">
        <is>
          <t>DESCRIPCION</t>
        </is>
      </c>
      <c r="D20" s="7" t="inlineStr">
        <is>
          <t>RECURSOS HUMANOS</t>
        </is>
      </c>
      <c r="E20" s="8" t="n"/>
      <c r="F20" s="8" t="n"/>
      <c r="G20" s="8" t="n"/>
      <c r="H20" s="9" t="inlineStr">
        <is>
          <t>MAQUINARIA/EQUIPOS/INFRAESTRUCTURA</t>
        </is>
      </c>
      <c r="I20" s="10" t="n"/>
      <c r="J20" s="10" t="n"/>
      <c r="K20" s="10" t="n"/>
      <c r="L20" s="10" t="n"/>
      <c r="M20" s="11" t="inlineStr">
        <is>
          <t>CONSUMIBLES/SERVICIOS</t>
        </is>
      </c>
      <c r="N20" s="12" t="n"/>
      <c r="O20" s="12" t="n"/>
      <c r="P20" s="12" t="n"/>
    </row>
    <row r="21">
      <c r="D21" s="7" t="inlineStr">
        <is>
          <t>Nombre del Recurso</t>
        </is>
      </c>
      <c r="E21" s="7" t="inlineStr">
        <is>
          <t>Numero de Horas</t>
        </is>
      </c>
      <c r="F21" s="7" t="inlineStr">
        <is>
          <t>Costo x Hora</t>
        </is>
      </c>
      <c r="G21" s="7" t="inlineStr">
        <is>
          <t>Costo Total</t>
        </is>
      </c>
      <c r="H21" s="9" t="inlineStr">
        <is>
          <t>Nombre del Recurso</t>
        </is>
      </c>
      <c r="I21" s="9" t="inlineStr">
        <is>
          <t>Cantidad</t>
        </is>
      </c>
      <c r="J21" s="9" t="inlineStr">
        <is>
          <t>Costo x día</t>
        </is>
      </c>
      <c r="K21" s="9" t="inlineStr">
        <is>
          <t>Nro. De días</t>
        </is>
      </c>
      <c r="L21" s="9" t="inlineStr">
        <is>
          <t>Total</t>
        </is>
      </c>
      <c r="M21" s="11" t="inlineStr">
        <is>
          <t>Nombre del Recurso</t>
        </is>
      </c>
      <c r="N21" s="11" t="inlineStr">
        <is>
          <t>Cantidad</t>
        </is>
      </c>
      <c r="O21" s="11" t="inlineStr">
        <is>
          <t>Costo Unitario</t>
        </is>
      </c>
      <c r="P21" s="11" t="inlineStr">
        <is>
          <t>IMPORTE</t>
        </is>
      </c>
    </row>
    <row r="22">
      <c r="B22" s="13" t="inlineStr">
        <is>
          <t>1.2.1</t>
        </is>
      </c>
      <c r="C22" s="14" t="inlineStr">
        <is>
          <t>Formular el Business Case</t>
        </is>
      </c>
      <c r="D22" s="15" t="inlineStr">
        <is>
          <t>Gerardo Plasencia (Líder)</t>
        </is>
      </c>
      <c r="E22" s="16" t="n">
        <v>4</v>
      </c>
      <c r="F22" s="17" t="n">
        <v>15</v>
      </c>
      <c r="G22" s="17">
        <f>E22*F22</f>
        <v/>
      </c>
      <c r="H22" s="15" t="inlineStr">
        <is>
          <t>Alquiler Laptop desarrollo</t>
        </is>
      </c>
      <c r="I22" s="16" t="n">
        <v>1</v>
      </c>
      <c r="J22" s="17" t="n">
        <v>5</v>
      </c>
      <c r="K22" s="16" t="n">
        <v>4</v>
      </c>
      <c r="L22" s="17">
        <f>I22*J22*K22</f>
        <v/>
      </c>
      <c r="M22" s="15" t="inlineStr">
        <is>
          <t>Energía eléctrica de trabajo</t>
        </is>
      </c>
      <c r="N22" s="16" t="n">
        <v>1</v>
      </c>
      <c r="O22" s="17" t="n">
        <v>10</v>
      </c>
      <c r="P22" s="17">
        <f>N22*O22</f>
        <v/>
      </c>
    </row>
    <row r="23"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5" t="inlineStr">
        <is>
          <t>Servicio de conectividad</t>
        </is>
      </c>
      <c r="N23" s="16" t="n">
        <v>1</v>
      </c>
      <c r="O23" s="17" t="n">
        <v>10</v>
      </c>
      <c r="P23" s="17">
        <f>N23*O23</f>
        <v/>
      </c>
    </row>
    <row r="24">
      <c r="B24" s="18" t="n"/>
      <c r="C24" s="19" t="inlineStr">
        <is>
          <t>SUB TOTAL ACTIVIDAD</t>
        </is>
      </c>
      <c r="D24" s="20">
        <f>SUM(G22:G23)</f>
        <v/>
      </c>
      <c r="E24" s="18" t="n"/>
      <c r="F24" s="18" t="n"/>
      <c r="G24" s="18" t="n"/>
      <c r="H24" s="20">
        <f>SUM(L22:L23)</f>
        <v/>
      </c>
      <c r="I24" s="18" t="n"/>
      <c r="J24" s="18" t="n"/>
      <c r="K24" s="18" t="n"/>
      <c r="L24" s="18" t="n"/>
      <c r="M24" s="20">
        <f>SUM(P22:P23)</f>
        <v/>
      </c>
      <c r="N24" s="18" t="n"/>
      <c r="O24" s="18" t="n"/>
      <c r="P24" s="18" t="n"/>
    </row>
    <row r="25">
      <c r="B25" s="21" t="n"/>
      <c r="C25" s="22" t="inlineStr">
        <is>
          <t>TOTAL ACTIVIDAD</t>
        </is>
      </c>
      <c r="D25" s="23">
        <f>D24+H24+M24</f>
        <v/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>
      <c r="B26" s="13" t="inlineStr">
        <is>
          <t>1.2.2</t>
        </is>
      </c>
      <c r="C26" s="14" t="inlineStr">
        <is>
          <t>Evaluar la viabilidad económica</t>
        </is>
      </c>
      <c r="D26" s="15" t="inlineStr">
        <is>
          <t>Gerardo Plasencia (Líder)</t>
        </is>
      </c>
      <c r="E26" s="16" t="n">
        <v>4</v>
      </c>
      <c r="F26" s="17" t="n">
        <v>15</v>
      </c>
      <c r="G26" s="17">
        <f>E26*F26</f>
        <v/>
      </c>
      <c r="H26" s="15" t="inlineStr">
        <is>
          <t>Alquiler Laptop desarrollo</t>
        </is>
      </c>
      <c r="I26" s="16" t="n">
        <v>1</v>
      </c>
      <c r="J26" s="17" t="n">
        <v>5</v>
      </c>
      <c r="K26" s="16" t="n">
        <v>3</v>
      </c>
      <c r="L26" s="17">
        <f>I26*J26*K26</f>
        <v/>
      </c>
      <c r="M26" s="15" t="inlineStr">
        <is>
          <t>Energía eléctrica e internet</t>
        </is>
      </c>
      <c r="N26" s="16" t="n">
        <v>1</v>
      </c>
      <c r="O26" s="17" t="n">
        <v>25</v>
      </c>
      <c r="P26" s="17">
        <f>N26*O26</f>
        <v/>
      </c>
    </row>
    <row r="27">
      <c r="B27" s="18" t="n"/>
      <c r="C27" s="19" t="inlineStr">
        <is>
          <t>SUB TOTAL ACTIVIDAD</t>
        </is>
      </c>
      <c r="D27" s="20">
        <f>SUM(G26:G26)</f>
        <v/>
      </c>
      <c r="E27" s="18" t="n"/>
      <c r="F27" s="18" t="n"/>
      <c r="G27" s="18" t="n"/>
      <c r="H27" s="20">
        <f>SUM(L26:L26)</f>
        <v/>
      </c>
      <c r="I27" s="18" t="n"/>
      <c r="J27" s="18" t="n"/>
      <c r="K27" s="18" t="n"/>
      <c r="L27" s="18" t="n"/>
      <c r="M27" s="20">
        <f>SUM(P26:P26)</f>
        <v/>
      </c>
      <c r="N27" s="18" t="n"/>
      <c r="O27" s="18" t="n"/>
      <c r="P27" s="18" t="n"/>
    </row>
    <row r="28">
      <c r="B28" s="21" t="n"/>
      <c r="C28" s="22" t="inlineStr">
        <is>
          <t>TOTAL ACTIVIDAD</t>
        </is>
      </c>
      <c r="D28" s="23">
        <f>D27+H27+M27</f>
        <v/>
      </c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</row>
    <row r="29">
      <c r="B29" s="24" t="inlineStr">
        <is>
          <t>SUB TOTAL PAQUETE</t>
        </is>
      </c>
      <c r="C29" s="18" t="n"/>
      <c r="D29" s="25">
        <f>SUM(D24,D27)</f>
        <v/>
      </c>
      <c r="E29" s="18" t="n"/>
      <c r="F29" s="18" t="n"/>
      <c r="G29" s="18" t="n"/>
      <c r="H29" s="25">
        <f>SUM(H24,H27)</f>
        <v/>
      </c>
      <c r="I29" s="18" t="n"/>
      <c r="J29" s="18" t="n"/>
      <c r="K29" s="18" t="n"/>
      <c r="L29" s="18" t="n"/>
      <c r="M29" s="25">
        <f>SUM(M24,M27)</f>
        <v/>
      </c>
      <c r="N29" s="18" t="n"/>
      <c r="O29" s="18" t="n"/>
      <c r="P29" s="18" t="n"/>
    </row>
    <row r="30">
      <c r="B30" s="26" t="inlineStr">
        <is>
          <t>TOTAL PAQUETE</t>
        </is>
      </c>
      <c r="C30" s="21" t="n"/>
      <c r="D30" s="27">
        <f>D29+H29+M29</f>
        <v/>
      </c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</row>
    <row r="32" ht="20" customHeight="1">
      <c r="B32" s="3" t="inlineStr">
        <is>
          <t>PAQUETE DE TRABAJO / ENTREGABLE</t>
        </is>
      </c>
      <c r="D32" s="4" t="inlineStr">
        <is>
          <t>EDT 1.3 – Planificación Inicial del Proyecto</t>
        </is>
      </c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B33" s="6" t="inlineStr">
        <is>
          <t>ACTIVIDAD</t>
        </is>
      </c>
      <c r="C33" s="5" t="n"/>
      <c r="D33" s="6" t="inlineStr">
        <is>
          <t>COSTOS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B34" s="6" t="inlineStr">
        <is>
          <t>CODIGO</t>
        </is>
      </c>
      <c r="C34" s="6" t="inlineStr">
        <is>
          <t>DESCRIPCION</t>
        </is>
      </c>
      <c r="D34" s="7" t="inlineStr">
        <is>
          <t>RECURSOS HUMANOS</t>
        </is>
      </c>
      <c r="E34" s="8" t="n"/>
      <c r="F34" s="8" t="n"/>
      <c r="G34" s="8" t="n"/>
      <c r="H34" s="9" t="inlineStr">
        <is>
          <t>MAQUINARIA/EQUIPOS/INFRAESTRUCTURA</t>
        </is>
      </c>
      <c r="I34" s="10" t="n"/>
      <c r="J34" s="10" t="n"/>
      <c r="K34" s="10" t="n"/>
      <c r="L34" s="10" t="n"/>
      <c r="M34" s="11" t="inlineStr">
        <is>
          <t>CONSUMIBLES/SERVICIOS</t>
        </is>
      </c>
      <c r="N34" s="12" t="n"/>
      <c r="O34" s="12" t="n"/>
      <c r="P34" s="12" t="n"/>
    </row>
    <row r="35">
      <c r="D35" s="7" t="inlineStr">
        <is>
          <t>Nombre del Recurso</t>
        </is>
      </c>
      <c r="E35" s="7" t="inlineStr">
        <is>
          <t>Numero de Horas</t>
        </is>
      </c>
      <c r="F35" s="7" t="inlineStr">
        <is>
          <t>Costo x Hora</t>
        </is>
      </c>
      <c r="G35" s="7" t="inlineStr">
        <is>
          <t>Costo Total</t>
        </is>
      </c>
      <c r="H35" s="9" t="inlineStr">
        <is>
          <t>Nombre del Recurso</t>
        </is>
      </c>
      <c r="I35" s="9" t="inlineStr">
        <is>
          <t>Cantidad</t>
        </is>
      </c>
      <c r="J35" s="9" t="inlineStr">
        <is>
          <t>Costo x día</t>
        </is>
      </c>
      <c r="K35" s="9" t="inlineStr">
        <is>
          <t>Nro. De días</t>
        </is>
      </c>
      <c r="L35" s="9" t="inlineStr">
        <is>
          <t>Total</t>
        </is>
      </c>
      <c r="M35" s="11" t="inlineStr">
        <is>
          <t>Nombre del Recurso</t>
        </is>
      </c>
      <c r="N35" s="11" t="inlineStr">
        <is>
          <t>Cantidad</t>
        </is>
      </c>
      <c r="O35" s="11" t="inlineStr">
        <is>
          <t>Costo Unitario</t>
        </is>
      </c>
      <c r="P35" s="11" t="inlineStr">
        <is>
          <t>IMPORTE</t>
        </is>
      </c>
    </row>
    <row r="36">
      <c r="B36" s="13" t="inlineStr">
        <is>
          <t>1.3.1</t>
        </is>
      </c>
      <c r="C36" s="14" t="inlineStr">
        <is>
          <t>Elaborar la EDT</t>
        </is>
      </c>
      <c r="D36" s="15" t="inlineStr">
        <is>
          <t>Gerardo Plasencia (Líder)</t>
        </is>
      </c>
      <c r="E36" s="16" t="n">
        <v>2.5</v>
      </c>
      <c r="F36" s="17" t="n">
        <v>16</v>
      </c>
      <c r="G36" s="17">
        <f>E36*F36</f>
        <v/>
      </c>
      <c r="H36" s="15" t="inlineStr">
        <is>
          <t>Alquiler Laptop desarrollo</t>
        </is>
      </c>
      <c r="I36" s="16" t="n">
        <v>1</v>
      </c>
      <c r="J36" s="17" t="n">
        <v>5</v>
      </c>
      <c r="K36" s="16" t="n">
        <v>2</v>
      </c>
      <c r="L36" s="17">
        <f>I36*J36*K36</f>
        <v/>
      </c>
      <c r="M36" s="15" t="inlineStr">
        <is>
          <t>Energía eléctrica y conectividad</t>
        </is>
      </c>
      <c r="N36" s="16" t="n">
        <v>1</v>
      </c>
      <c r="O36" s="17" t="n">
        <v>10</v>
      </c>
      <c r="P36" s="17">
        <f>N36*O36</f>
        <v/>
      </c>
    </row>
    <row r="37">
      <c r="B37" s="18" t="n"/>
      <c r="C37" s="19" t="inlineStr">
        <is>
          <t>SUB TOTAL ACTIVIDAD</t>
        </is>
      </c>
      <c r="D37" s="20">
        <f>SUM(G36:G36)</f>
        <v/>
      </c>
      <c r="E37" s="18" t="n"/>
      <c r="F37" s="18" t="n"/>
      <c r="G37" s="18" t="n"/>
      <c r="H37" s="20">
        <f>SUM(L36:L36)</f>
        <v/>
      </c>
      <c r="I37" s="18" t="n"/>
      <c r="J37" s="18" t="n"/>
      <c r="K37" s="18" t="n"/>
      <c r="L37" s="18" t="n"/>
      <c r="M37" s="20">
        <f>SUM(P36:P36)</f>
        <v/>
      </c>
      <c r="N37" s="18" t="n"/>
      <c r="O37" s="18" t="n"/>
      <c r="P37" s="18" t="n"/>
    </row>
    <row r="38">
      <c r="B38" s="21" t="n"/>
      <c r="C38" s="22" t="inlineStr">
        <is>
          <t>TOTAL ACTIVIDAD</t>
        </is>
      </c>
      <c r="D38" s="23">
        <f>D37+H37+M37</f>
        <v/>
      </c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</row>
    <row r="39">
      <c r="B39" s="13" t="inlineStr">
        <is>
          <t>1.3.2</t>
        </is>
      </c>
      <c r="C39" s="14" t="inlineStr">
        <is>
          <t>Construir el cronograma</t>
        </is>
      </c>
      <c r="D39" s="15" t="inlineStr">
        <is>
          <t>Diego Rodríguez (Backend)</t>
        </is>
      </c>
      <c r="E39" s="16" t="n">
        <v>2.5</v>
      </c>
      <c r="F39" s="17" t="n">
        <v>16</v>
      </c>
      <c r="G39" s="17">
        <f>E39*F39</f>
        <v/>
      </c>
      <c r="H39" s="15" t="inlineStr">
        <is>
          <t>Alquiler Laptop desarrollo</t>
        </is>
      </c>
      <c r="I39" s="16" t="n">
        <v>1</v>
      </c>
      <c r="J39" s="17" t="n">
        <v>5</v>
      </c>
      <c r="K39" s="16" t="n">
        <v>2</v>
      </c>
      <c r="L39" s="17">
        <f>I39*J39*K39</f>
        <v/>
      </c>
      <c r="M39" s="15" t="inlineStr">
        <is>
          <t>Energía eléctrica y conectividad</t>
        </is>
      </c>
      <c r="N39" s="16" t="n">
        <v>1</v>
      </c>
      <c r="O39" s="17" t="n">
        <v>10</v>
      </c>
      <c r="P39" s="17">
        <f>N39*O39</f>
        <v/>
      </c>
    </row>
    <row r="40">
      <c r="B40" s="18" t="n"/>
      <c r="C40" s="19" t="inlineStr">
        <is>
          <t>SUB TOTAL ACTIVIDAD</t>
        </is>
      </c>
      <c r="D40" s="20">
        <f>SUM(G39:G39)</f>
        <v/>
      </c>
      <c r="E40" s="18" t="n"/>
      <c r="F40" s="18" t="n"/>
      <c r="G40" s="18" t="n"/>
      <c r="H40" s="20">
        <f>SUM(L39:L39)</f>
        <v/>
      </c>
      <c r="I40" s="18" t="n"/>
      <c r="J40" s="18" t="n"/>
      <c r="K40" s="18" t="n"/>
      <c r="L40" s="18" t="n"/>
      <c r="M40" s="20">
        <f>SUM(P39:P39)</f>
        <v/>
      </c>
      <c r="N40" s="18" t="n"/>
      <c r="O40" s="18" t="n"/>
      <c r="P40" s="18" t="n"/>
    </row>
    <row r="41">
      <c r="B41" s="21" t="n"/>
      <c r="C41" s="22" t="inlineStr">
        <is>
          <t>TOTAL ACTIVIDAD</t>
        </is>
      </c>
      <c r="D41" s="23">
        <f>D40+H40+M40</f>
        <v/>
      </c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>
      <c r="B42" s="13" t="inlineStr">
        <is>
          <t>1.3.3</t>
        </is>
      </c>
      <c r="C42" s="14" t="inlineStr">
        <is>
          <t>Definir el presupuesto</t>
        </is>
      </c>
      <c r="D42" s="15" t="inlineStr">
        <is>
          <t>Estibb Anhuaman (Frontend)</t>
        </is>
      </c>
      <c r="E42" s="16" t="n">
        <v>2.5</v>
      </c>
      <c r="F42" s="17" t="n">
        <v>16</v>
      </c>
      <c r="G42" s="17">
        <f>E42*F42</f>
        <v/>
      </c>
      <c r="H42" s="15" t="inlineStr">
        <is>
          <t>Alquiler Laptop desarrollo</t>
        </is>
      </c>
      <c r="I42" s="16" t="n">
        <v>1</v>
      </c>
      <c r="J42" s="17" t="n">
        <v>5</v>
      </c>
      <c r="K42" s="16" t="n">
        <v>2</v>
      </c>
      <c r="L42" s="17">
        <f>I42*J42*K42</f>
        <v/>
      </c>
      <c r="M42" s="15" t="inlineStr">
        <is>
          <t>Energía eléctrica y conectividad</t>
        </is>
      </c>
      <c r="N42" s="16" t="n">
        <v>1</v>
      </c>
      <c r="O42" s="17" t="n">
        <v>10</v>
      </c>
      <c r="P42" s="17">
        <f>N42*O42</f>
        <v/>
      </c>
    </row>
    <row r="43">
      <c r="B43" s="18" t="n"/>
      <c r="C43" s="19" t="inlineStr">
        <is>
          <t>SUB TOTAL ACTIVIDAD</t>
        </is>
      </c>
      <c r="D43" s="20">
        <f>SUM(G42:G42)</f>
        <v/>
      </c>
      <c r="E43" s="18" t="n"/>
      <c r="F43" s="18" t="n"/>
      <c r="G43" s="18" t="n"/>
      <c r="H43" s="20">
        <f>SUM(L42:L42)</f>
        <v/>
      </c>
      <c r="I43" s="18" t="n"/>
      <c r="J43" s="18" t="n"/>
      <c r="K43" s="18" t="n"/>
      <c r="L43" s="18" t="n"/>
      <c r="M43" s="20">
        <f>SUM(P42:P42)</f>
        <v/>
      </c>
      <c r="N43" s="18" t="n"/>
      <c r="O43" s="18" t="n"/>
      <c r="P43" s="18" t="n"/>
    </row>
    <row r="44">
      <c r="B44" s="21" t="n"/>
      <c r="C44" s="22" t="inlineStr">
        <is>
          <t>TOTAL ACTIVIDAD</t>
        </is>
      </c>
      <c r="D44" s="23">
        <f>D43+H43+M43</f>
        <v/>
      </c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>
      <c r="B45" s="13" t="inlineStr">
        <is>
          <t>1.3.4</t>
        </is>
      </c>
      <c r="C45" s="14" t="inlineStr">
        <is>
          <t>Definir el plan de recursos</t>
        </is>
      </c>
      <c r="D45" s="15" t="inlineStr">
        <is>
          <t>Gerardo Plasencia (Líder)</t>
        </is>
      </c>
      <c r="E45" s="16" t="n">
        <v>1.5</v>
      </c>
      <c r="F45" s="17" t="n">
        <v>16</v>
      </c>
      <c r="G45" s="17">
        <f>E45*F45</f>
        <v/>
      </c>
      <c r="H45" s="15" t="inlineStr">
        <is>
          <t>Alquiler Laptop desarrollo</t>
        </is>
      </c>
      <c r="I45" s="16" t="n">
        <v>1</v>
      </c>
      <c r="J45" s="17" t="n">
        <v>5</v>
      </c>
      <c r="K45" s="16" t="n">
        <v>2</v>
      </c>
      <c r="L45" s="17">
        <f>I45*J45*K45</f>
        <v/>
      </c>
      <c r="M45" s="15" t="inlineStr">
        <is>
          <t>Energía eléctrica y conectividad</t>
        </is>
      </c>
      <c r="N45" s="16" t="n">
        <v>1</v>
      </c>
      <c r="O45" s="17" t="n">
        <v>6</v>
      </c>
      <c r="P45" s="17">
        <f>N45*O45</f>
        <v/>
      </c>
    </row>
    <row r="46">
      <c r="B46" s="18" t="n"/>
      <c r="C46" s="19" t="inlineStr">
        <is>
          <t>SUB TOTAL ACTIVIDAD</t>
        </is>
      </c>
      <c r="D46" s="20">
        <f>SUM(G45:G45)</f>
        <v/>
      </c>
      <c r="E46" s="18" t="n"/>
      <c r="F46" s="18" t="n"/>
      <c r="G46" s="18" t="n"/>
      <c r="H46" s="20">
        <f>SUM(L45:L45)</f>
        <v/>
      </c>
      <c r="I46" s="18" t="n"/>
      <c r="J46" s="18" t="n"/>
      <c r="K46" s="18" t="n"/>
      <c r="L46" s="18" t="n"/>
      <c r="M46" s="20">
        <f>SUM(P45:P45)</f>
        <v/>
      </c>
      <c r="N46" s="18" t="n"/>
      <c r="O46" s="18" t="n"/>
      <c r="P46" s="18" t="n"/>
    </row>
    <row r="47">
      <c r="B47" s="21" t="n"/>
      <c r="C47" s="22" t="inlineStr">
        <is>
          <t>TOTAL ACTIVIDAD</t>
        </is>
      </c>
      <c r="D47" s="23">
        <f>D46+H46+M46</f>
        <v/>
      </c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>
      <c r="B48" s="24" t="inlineStr">
        <is>
          <t>SUB TOTAL PAQUETE</t>
        </is>
      </c>
      <c r="C48" s="18" t="n"/>
      <c r="D48" s="25">
        <f>SUM(D37,D40,D43,D46)</f>
        <v/>
      </c>
      <c r="E48" s="18" t="n"/>
      <c r="F48" s="18" t="n"/>
      <c r="G48" s="18" t="n"/>
      <c r="H48" s="25">
        <f>SUM(H37,H40,H43,H46)</f>
        <v/>
      </c>
      <c r="I48" s="18" t="n"/>
      <c r="J48" s="18" t="n"/>
      <c r="K48" s="18" t="n"/>
      <c r="L48" s="18" t="n"/>
      <c r="M48" s="25">
        <f>SUM(M37,M40,M43,M46)</f>
        <v/>
      </c>
      <c r="N48" s="18" t="n"/>
      <c r="O48" s="18" t="n"/>
      <c r="P48" s="18" t="n"/>
    </row>
    <row r="49">
      <c r="B49" s="26" t="inlineStr">
        <is>
          <t>TOTAL PAQUETE</t>
        </is>
      </c>
      <c r="C49" s="21" t="n"/>
      <c r="D49" s="27">
        <f>D48+H48+M48</f>
        <v/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1" ht="20" customHeight="1">
      <c r="B51" s="3" t="inlineStr">
        <is>
          <t>PAQUETE DE TRABAJO / ENTREGABLE</t>
        </is>
      </c>
      <c r="D51" s="4" t="inlineStr">
        <is>
          <t>EDT 1.4 – Planes de Gestión y Calidad del Software</t>
        </is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B52" s="6" t="inlineStr">
        <is>
          <t>ACTIVIDAD</t>
        </is>
      </c>
      <c r="C52" s="5" t="n"/>
      <c r="D52" s="6" t="inlineStr">
        <is>
          <t>COSTOS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B53" s="6" t="inlineStr">
        <is>
          <t>CODIGO</t>
        </is>
      </c>
      <c r="C53" s="6" t="inlineStr">
        <is>
          <t>DESCRIPCION</t>
        </is>
      </c>
      <c r="D53" s="7" t="inlineStr">
        <is>
          <t>RECURSOS HUMANOS</t>
        </is>
      </c>
      <c r="E53" s="8" t="n"/>
      <c r="F53" s="8" t="n"/>
      <c r="G53" s="8" t="n"/>
      <c r="H53" s="9" t="inlineStr">
        <is>
          <t>MAQUINARIA/EQUIPOS/INFRAESTRUCTURA</t>
        </is>
      </c>
      <c r="I53" s="10" t="n"/>
      <c r="J53" s="10" t="n"/>
      <c r="K53" s="10" t="n"/>
      <c r="L53" s="10" t="n"/>
      <c r="M53" s="11" t="inlineStr">
        <is>
          <t>CONSUMIBLES/SERVICIOS</t>
        </is>
      </c>
      <c r="N53" s="12" t="n"/>
      <c r="O53" s="12" t="n"/>
      <c r="P53" s="12" t="n"/>
    </row>
    <row r="54">
      <c r="D54" s="7" t="inlineStr">
        <is>
          <t>Nombre del Recurso</t>
        </is>
      </c>
      <c r="E54" s="7" t="inlineStr">
        <is>
          <t>Numero de Horas</t>
        </is>
      </c>
      <c r="F54" s="7" t="inlineStr">
        <is>
          <t>Costo x Hora</t>
        </is>
      </c>
      <c r="G54" s="7" t="inlineStr">
        <is>
          <t>Costo Total</t>
        </is>
      </c>
      <c r="H54" s="9" t="inlineStr">
        <is>
          <t>Nombre del Recurso</t>
        </is>
      </c>
      <c r="I54" s="9" t="inlineStr">
        <is>
          <t>Cantidad</t>
        </is>
      </c>
      <c r="J54" s="9" t="inlineStr">
        <is>
          <t>Costo x día</t>
        </is>
      </c>
      <c r="K54" s="9" t="inlineStr">
        <is>
          <t>Nro. De días</t>
        </is>
      </c>
      <c r="L54" s="9" t="inlineStr">
        <is>
          <t>Total</t>
        </is>
      </c>
      <c r="M54" s="11" t="inlineStr">
        <is>
          <t>Nombre del Recurso</t>
        </is>
      </c>
      <c r="N54" s="11" t="inlineStr">
        <is>
          <t>Cantidad</t>
        </is>
      </c>
      <c r="O54" s="11" t="inlineStr">
        <is>
          <t>Costo Unitario</t>
        </is>
      </c>
      <c r="P54" s="11" t="inlineStr">
        <is>
          <t>IMPORTE</t>
        </is>
      </c>
    </row>
    <row r="55">
      <c r="B55" s="13" t="inlineStr">
        <is>
          <t>1.4.1</t>
        </is>
      </c>
      <c r="C55" s="14" t="inlineStr">
        <is>
          <t>Planificar la gestión del proyecto</t>
        </is>
      </c>
      <c r="D55" s="15" t="inlineStr">
        <is>
          <t>Gerardo Plasencia (Líder)</t>
        </is>
      </c>
      <c r="E55" s="16" t="n">
        <v>2.5</v>
      </c>
      <c r="F55" s="17" t="n">
        <v>16</v>
      </c>
      <c r="G55" s="17">
        <f>E55*F55</f>
        <v/>
      </c>
      <c r="H55" s="15" t="inlineStr">
        <is>
          <t>Alquiler Laptop desarrollo</t>
        </is>
      </c>
      <c r="I55" s="16" t="n">
        <v>1</v>
      </c>
      <c r="J55" s="17" t="n">
        <v>5</v>
      </c>
      <c r="K55" s="16" t="n">
        <v>2</v>
      </c>
      <c r="L55" s="17">
        <f>I55*J55*K55</f>
        <v/>
      </c>
      <c r="M55" s="15" t="inlineStr">
        <is>
          <t>Energía eléctrica y conectividad</t>
        </is>
      </c>
      <c r="N55" s="16" t="n">
        <v>1</v>
      </c>
      <c r="O55" s="17" t="n">
        <v>10</v>
      </c>
      <c r="P55" s="17">
        <f>N55*O55</f>
        <v/>
      </c>
    </row>
    <row r="56">
      <c r="B56" s="18" t="n"/>
      <c r="C56" s="19" t="inlineStr">
        <is>
          <t>SUB TOTAL ACTIVIDAD</t>
        </is>
      </c>
      <c r="D56" s="20">
        <f>SUM(G55:G55)</f>
        <v/>
      </c>
      <c r="E56" s="18" t="n"/>
      <c r="F56" s="18" t="n"/>
      <c r="G56" s="18" t="n"/>
      <c r="H56" s="20">
        <f>SUM(L55:L55)</f>
        <v/>
      </c>
      <c r="I56" s="18" t="n"/>
      <c r="J56" s="18" t="n"/>
      <c r="K56" s="18" t="n"/>
      <c r="L56" s="18" t="n"/>
      <c r="M56" s="20">
        <f>SUM(P55:P55)</f>
        <v/>
      </c>
      <c r="N56" s="18" t="n"/>
      <c r="O56" s="18" t="n"/>
      <c r="P56" s="18" t="n"/>
    </row>
    <row r="57">
      <c r="B57" s="21" t="n"/>
      <c r="C57" s="22" t="inlineStr">
        <is>
          <t>TOTAL ACTIVIDAD</t>
        </is>
      </c>
      <c r="D57" s="23">
        <f>D56+H56+M56</f>
        <v/>
      </c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</row>
    <row r="58">
      <c r="B58" s="13" t="inlineStr">
        <is>
          <t>1.4.2</t>
        </is>
      </c>
      <c r="C58" s="14" t="inlineStr">
        <is>
          <t>Gestionar los riesgos</t>
        </is>
      </c>
      <c r="D58" s="15" t="inlineStr">
        <is>
          <t>Diego Rodríguez (Backend)</t>
        </is>
      </c>
      <c r="E58" s="16" t="n">
        <v>2.5</v>
      </c>
      <c r="F58" s="17" t="n">
        <v>16</v>
      </c>
      <c r="G58" s="17">
        <f>E58*F58</f>
        <v/>
      </c>
      <c r="H58" s="15" t="inlineStr">
        <is>
          <t>Alquiler Laptop desarrollo</t>
        </is>
      </c>
      <c r="I58" s="16" t="n">
        <v>1</v>
      </c>
      <c r="J58" s="17" t="n">
        <v>5</v>
      </c>
      <c r="K58" s="16" t="n">
        <v>2</v>
      </c>
      <c r="L58" s="17">
        <f>I58*J58*K58</f>
        <v/>
      </c>
      <c r="M58" s="15" t="inlineStr">
        <is>
          <t>Energía eléctrica y conectividad</t>
        </is>
      </c>
      <c r="N58" s="16" t="n">
        <v>1</v>
      </c>
      <c r="O58" s="17" t="n">
        <v>10</v>
      </c>
      <c r="P58" s="17">
        <f>N58*O58</f>
        <v/>
      </c>
    </row>
    <row r="59">
      <c r="B59" s="18" t="n"/>
      <c r="C59" s="19" t="inlineStr">
        <is>
          <t>SUB TOTAL ACTIVIDAD</t>
        </is>
      </c>
      <c r="D59" s="20">
        <f>SUM(G58:G58)</f>
        <v/>
      </c>
      <c r="E59" s="18" t="n"/>
      <c r="F59" s="18" t="n"/>
      <c r="G59" s="18" t="n"/>
      <c r="H59" s="20">
        <f>SUM(L58:L58)</f>
        <v/>
      </c>
      <c r="I59" s="18" t="n"/>
      <c r="J59" s="18" t="n"/>
      <c r="K59" s="18" t="n"/>
      <c r="L59" s="18" t="n"/>
      <c r="M59" s="20">
        <f>SUM(P58:P58)</f>
        <v/>
      </c>
      <c r="N59" s="18" t="n"/>
      <c r="O59" s="18" t="n"/>
      <c r="P59" s="18" t="n"/>
    </row>
    <row r="60">
      <c r="B60" s="21" t="n"/>
      <c r="C60" s="22" t="inlineStr">
        <is>
          <t>TOTAL ACTIVIDAD</t>
        </is>
      </c>
      <c r="D60" s="23">
        <f>D59+H59+M59</f>
        <v/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</row>
    <row r="61">
      <c r="B61" s="13" t="inlineStr">
        <is>
          <t>1.4.3</t>
        </is>
      </c>
      <c r="C61" s="14" t="inlineStr">
        <is>
          <t>Planificar las comunicaciones</t>
        </is>
      </c>
      <c r="D61" s="15" t="inlineStr">
        <is>
          <t>Estibb Anhuaman (Frontend)</t>
        </is>
      </c>
      <c r="E61" s="16" t="n">
        <v>2.5</v>
      </c>
      <c r="F61" s="17" t="n">
        <v>16</v>
      </c>
      <c r="G61" s="17">
        <f>E61*F61</f>
        <v/>
      </c>
      <c r="H61" s="15" t="inlineStr">
        <is>
          <t>Alquiler Laptop desarrollo</t>
        </is>
      </c>
      <c r="I61" s="16" t="n">
        <v>1</v>
      </c>
      <c r="J61" s="17" t="n">
        <v>5</v>
      </c>
      <c r="K61" s="16" t="n">
        <v>2</v>
      </c>
      <c r="L61" s="17">
        <f>I61*J61*K61</f>
        <v/>
      </c>
      <c r="M61" s="15" t="inlineStr">
        <is>
          <t>Energía eléctrica y conectividad</t>
        </is>
      </c>
      <c r="N61" s="16" t="n">
        <v>1</v>
      </c>
      <c r="O61" s="17" t="n">
        <v>10</v>
      </c>
      <c r="P61" s="17">
        <f>N61*O61</f>
        <v/>
      </c>
    </row>
    <row r="62">
      <c r="B62" s="18" t="n"/>
      <c r="C62" s="19" t="inlineStr">
        <is>
          <t>SUB TOTAL ACTIVIDAD</t>
        </is>
      </c>
      <c r="D62" s="20">
        <f>SUM(G61:G61)</f>
        <v/>
      </c>
      <c r="E62" s="18" t="n"/>
      <c r="F62" s="18" t="n"/>
      <c r="G62" s="18" t="n"/>
      <c r="H62" s="20">
        <f>SUM(L61:L61)</f>
        <v/>
      </c>
      <c r="I62" s="18" t="n"/>
      <c r="J62" s="18" t="n"/>
      <c r="K62" s="18" t="n"/>
      <c r="L62" s="18" t="n"/>
      <c r="M62" s="20">
        <f>SUM(P61:P61)</f>
        <v/>
      </c>
      <c r="N62" s="18" t="n"/>
      <c r="O62" s="18" t="n"/>
      <c r="P62" s="18" t="n"/>
    </row>
    <row r="63">
      <c r="B63" s="21" t="n"/>
      <c r="C63" s="22" t="inlineStr">
        <is>
          <t>TOTAL ACTIVIDAD</t>
        </is>
      </c>
      <c r="D63" s="23">
        <f>D62+H62+M62</f>
        <v/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</row>
    <row r="64">
      <c r="B64" s="13" t="inlineStr">
        <is>
          <t>1.4.4</t>
        </is>
      </c>
      <c r="C64" s="14" t="inlineStr">
        <is>
          <t>Asignar responsabilidades RACI</t>
        </is>
      </c>
      <c r="D64" s="15" t="inlineStr">
        <is>
          <t>Gerardo Plasencia (Líder)</t>
        </is>
      </c>
      <c r="E64" s="16" t="n">
        <v>2.5</v>
      </c>
      <c r="F64" s="17" t="n">
        <v>16</v>
      </c>
      <c r="G64" s="17">
        <f>E64*F64</f>
        <v/>
      </c>
      <c r="H64" s="15" t="inlineStr">
        <is>
          <t>Alquiler Laptop desarrollo</t>
        </is>
      </c>
      <c r="I64" s="16" t="n">
        <v>1</v>
      </c>
      <c r="J64" s="17" t="n">
        <v>5</v>
      </c>
      <c r="K64" s="16" t="n">
        <v>2</v>
      </c>
      <c r="L64" s="17">
        <f>I64*J64*K64</f>
        <v/>
      </c>
      <c r="M64" s="15" t="inlineStr">
        <is>
          <t>Energía eléctrica y conectividad</t>
        </is>
      </c>
      <c r="N64" s="16" t="n">
        <v>1</v>
      </c>
      <c r="O64" s="17" t="n">
        <v>10</v>
      </c>
      <c r="P64" s="17">
        <f>N64*O64</f>
        <v/>
      </c>
    </row>
    <row r="65">
      <c r="B65" s="18" t="n"/>
      <c r="C65" s="19" t="inlineStr">
        <is>
          <t>SUB TOTAL ACTIVIDAD</t>
        </is>
      </c>
      <c r="D65" s="20">
        <f>SUM(G64:G64)</f>
        <v/>
      </c>
      <c r="E65" s="18" t="n"/>
      <c r="F65" s="18" t="n"/>
      <c r="G65" s="18" t="n"/>
      <c r="H65" s="20">
        <f>SUM(L64:L64)</f>
        <v/>
      </c>
      <c r="I65" s="18" t="n"/>
      <c r="J65" s="18" t="n"/>
      <c r="K65" s="18" t="n"/>
      <c r="L65" s="18" t="n"/>
      <c r="M65" s="20">
        <f>SUM(P64:P64)</f>
        <v/>
      </c>
      <c r="N65" s="18" t="n"/>
      <c r="O65" s="18" t="n"/>
      <c r="P65" s="18" t="n"/>
    </row>
    <row r="66">
      <c r="B66" s="21" t="n"/>
      <c r="C66" s="22" t="inlineStr">
        <is>
          <t>TOTAL ACTIVIDAD</t>
        </is>
      </c>
      <c r="D66" s="23">
        <f>D65+H65+M65</f>
        <v/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>
      <c r="B67" s="13" t="inlineStr">
        <is>
          <t>1.4.5</t>
        </is>
      </c>
      <c r="C67" s="14" t="inlineStr">
        <is>
          <t>Definir el plan de calidad</t>
        </is>
      </c>
      <c r="D67" s="15" t="inlineStr">
        <is>
          <t>Diego Rodríguez (Backend)</t>
        </is>
      </c>
      <c r="E67" s="16" t="n">
        <v>2.5</v>
      </c>
      <c r="F67" s="17" t="n">
        <v>16</v>
      </c>
      <c r="G67" s="17">
        <f>E67*F67</f>
        <v/>
      </c>
      <c r="H67" s="15" t="inlineStr">
        <is>
          <t>Alquiler Laptop desarrollo</t>
        </is>
      </c>
      <c r="I67" s="16" t="n">
        <v>1</v>
      </c>
      <c r="J67" s="17" t="n">
        <v>5</v>
      </c>
      <c r="K67" s="16" t="n">
        <v>2</v>
      </c>
      <c r="L67" s="17">
        <f>I67*J67*K67</f>
        <v/>
      </c>
      <c r="M67" s="15" t="inlineStr">
        <is>
          <t>Energía eléctrica y conectividad</t>
        </is>
      </c>
      <c r="N67" s="16" t="n">
        <v>1</v>
      </c>
      <c r="O67" s="17" t="n">
        <v>10</v>
      </c>
      <c r="P67" s="17">
        <f>N67*O67</f>
        <v/>
      </c>
    </row>
    <row r="68">
      <c r="B68" s="18" t="n"/>
      <c r="C68" s="19" t="inlineStr">
        <is>
          <t>SUB TOTAL ACTIVIDAD</t>
        </is>
      </c>
      <c r="D68" s="20">
        <f>SUM(G67:G67)</f>
        <v/>
      </c>
      <c r="E68" s="18" t="n"/>
      <c r="F68" s="18" t="n"/>
      <c r="G68" s="18" t="n"/>
      <c r="H68" s="20">
        <f>SUM(L67:L67)</f>
        <v/>
      </c>
      <c r="I68" s="18" t="n"/>
      <c r="J68" s="18" t="n"/>
      <c r="K68" s="18" t="n"/>
      <c r="L68" s="18" t="n"/>
      <c r="M68" s="20">
        <f>SUM(P67:P67)</f>
        <v/>
      </c>
      <c r="N68" s="18" t="n"/>
      <c r="O68" s="18" t="n"/>
      <c r="P68" s="18" t="n"/>
    </row>
    <row r="69">
      <c r="B69" s="21" t="n"/>
      <c r="C69" s="22" t="inlineStr">
        <is>
          <t>TOTAL ACTIVIDAD</t>
        </is>
      </c>
      <c r="D69" s="23">
        <f>D68+H68+M68</f>
        <v/>
      </c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>
      <c r="B70" s="13" t="inlineStr">
        <is>
          <t>1.4.6</t>
        </is>
      </c>
      <c r="C70" s="14" t="inlineStr">
        <is>
          <t>Definir el plan de seguridad</t>
        </is>
      </c>
      <c r="D70" s="15" t="inlineStr">
        <is>
          <t>Gerardo Plasencia (Líder)</t>
        </is>
      </c>
      <c r="E70" s="16" t="n">
        <v>2.5</v>
      </c>
      <c r="F70" s="17" t="n">
        <v>16</v>
      </c>
      <c r="G70" s="17">
        <f>E70*F70</f>
        <v/>
      </c>
      <c r="H70" s="15" t="inlineStr">
        <is>
          <t>Alquiler Laptop desarrollo</t>
        </is>
      </c>
      <c r="I70" s="16" t="n">
        <v>1</v>
      </c>
      <c r="J70" s="17" t="n">
        <v>5</v>
      </c>
      <c r="K70" s="16" t="n">
        <v>2</v>
      </c>
      <c r="L70" s="17">
        <f>I70*J70*K70</f>
        <v/>
      </c>
      <c r="M70" s="15" t="inlineStr">
        <is>
          <t>Energía eléctrica y conectividad</t>
        </is>
      </c>
      <c r="N70" s="16" t="n">
        <v>1</v>
      </c>
      <c r="O70" s="17" t="n">
        <v>10</v>
      </c>
      <c r="P70" s="17">
        <f>N70*O70</f>
        <v/>
      </c>
    </row>
    <row r="71">
      <c r="B71" s="18" t="n"/>
      <c r="C71" s="19" t="inlineStr">
        <is>
          <t>SUB TOTAL ACTIVIDAD</t>
        </is>
      </c>
      <c r="D71" s="20">
        <f>SUM(G70:G70)</f>
        <v/>
      </c>
      <c r="E71" s="18" t="n"/>
      <c r="F71" s="18" t="n"/>
      <c r="G71" s="18" t="n"/>
      <c r="H71" s="20">
        <f>SUM(L70:L70)</f>
        <v/>
      </c>
      <c r="I71" s="18" t="n"/>
      <c r="J71" s="18" t="n"/>
      <c r="K71" s="18" t="n"/>
      <c r="L71" s="18" t="n"/>
      <c r="M71" s="20">
        <f>SUM(P70:P70)</f>
        <v/>
      </c>
      <c r="N71" s="18" t="n"/>
      <c r="O71" s="18" t="n"/>
      <c r="P71" s="18" t="n"/>
    </row>
    <row r="72">
      <c r="B72" s="21" t="n"/>
      <c r="C72" s="22" t="inlineStr">
        <is>
          <t>TOTAL ACTIVIDAD</t>
        </is>
      </c>
      <c r="D72" s="23">
        <f>D71+H71+M71</f>
        <v/>
      </c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>
      <c r="B73" s="13" t="inlineStr">
        <is>
          <t>1.4.7</t>
        </is>
      </c>
      <c r="C73" s="14" t="inlineStr">
        <is>
          <t>Planificar el involucramiento de interesados</t>
        </is>
      </c>
      <c r="D73" s="15" t="inlineStr">
        <is>
          <t>Estibb Anhuaman (Frontend)</t>
        </is>
      </c>
      <c r="E73" s="16" t="n">
        <v>2.5</v>
      </c>
      <c r="F73" s="17" t="n">
        <v>16</v>
      </c>
      <c r="G73" s="17">
        <f>E73*F73</f>
        <v/>
      </c>
      <c r="H73" s="15" t="inlineStr">
        <is>
          <t>Alquiler Laptop desarrollo</t>
        </is>
      </c>
      <c r="I73" s="16" t="n">
        <v>1</v>
      </c>
      <c r="J73" s="17" t="n">
        <v>5</v>
      </c>
      <c r="K73" s="16" t="n">
        <v>2</v>
      </c>
      <c r="L73" s="17">
        <f>I73*J73*K73</f>
        <v/>
      </c>
      <c r="M73" s="15" t="inlineStr">
        <is>
          <t>Energía eléctrica y conectividad</t>
        </is>
      </c>
      <c r="N73" s="16" t="n">
        <v>1</v>
      </c>
      <c r="O73" s="17" t="n">
        <v>10</v>
      </c>
      <c r="P73" s="17">
        <f>N73*O73</f>
        <v/>
      </c>
    </row>
    <row r="74">
      <c r="B74" s="18" t="n"/>
      <c r="C74" s="19" t="inlineStr">
        <is>
          <t>SUB TOTAL ACTIVIDAD</t>
        </is>
      </c>
      <c r="D74" s="20">
        <f>SUM(G73:G73)</f>
        <v/>
      </c>
      <c r="E74" s="18" t="n"/>
      <c r="F74" s="18" t="n"/>
      <c r="G74" s="18" t="n"/>
      <c r="H74" s="20">
        <f>SUM(L73:L73)</f>
        <v/>
      </c>
      <c r="I74" s="18" t="n"/>
      <c r="J74" s="18" t="n"/>
      <c r="K74" s="18" t="n"/>
      <c r="L74" s="18" t="n"/>
      <c r="M74" s="20">
        <f>SUM(P73:P73)</f>
        <v/>
      </c>
      <c r="N74" s="18" t="n"/>
      <c r="O74" s="18" t="n"/>
      <c r="P74" s="18" t="n"/>
    </row>
    <row r="75">
      <c r="B75" s="21" t="n"/>
      <c r="C75" s="22" t="inlineStr">
        <is>
          <t>TOTAL ACTIVIDAD</t>
        </is>
      </c>
      <c r="D75" s="23">
        <f>D74+H74+M74</f>
        <v/>
      </c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</row>
    <row r="76">
      <c r="B76" s="24" t="inlineStr">
        <is>
          <t>SUB TOTAL PAQUETE</t>
        </is>
      </c>
      <c r="C76" s="18" t="n"/>
      <c r="D76" s="25">
        <f>SUM(D56,D59,D62,D65,D68,D71,D74)</f>
        <v/>
      </c>
      <c r="E76" s="18" t="n"/>
      <c r="F76" s="18" t="n"/>
      <c r="G76" s="18" t="n"/>
      <c r="H76" s="25">
        <f>SUM(H56,H59,H62,H65,H68,H71,H74)</f>
        <v/>
      </c>
      <c r="I76" s="18" t="n"/>
      <c r="J76" s="18" t="n"/>
      <c r="K76" s="18" t="n"/>
      <c r="L76" s="18" t="n"/>
      <c r="M76" s="25">
        <f>SUM(M56,M59,M62,M65,M68,M71,M74)</f>
        <v/>
      </c>
      <c r="N76" s="18" t="n"/>
      <c r="O76" s="18" t="n"/>
      <c r="P76" s="18" t="n"/>
    </row>
    <row r="77">
      <c r="B77" s="26" t="inlineStr">
        <is>
          <t>TOTAL PAQUETE</t>
        </is>
      </c>
      <c r="C77" s="21" t="n"/>
      <c r="D77" s="27">
        <f>D76+H76+M76</f>
        <v/>
      </c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</row>
    <row r="79" ht="24" customHeight="1">
      <c r="B79" s="1" t="inlineStr">
        <is>
          <t>FASE 2.0: ANÁLISIS Y ESPECIFICACIÓN DE REQUERIMIENTOS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 ht="20" customHeight="1">
      <c r="B80" s="3" t="inlineStr">
        <is>
          <t>PAQUETE DE TRABAJO / ENTREGABLE</t>
        </is>
      </c>
      <c r="D80" s="4" t="inlineStr">
        <is>
          <t>EDT 2.1 – Requerimientos de Software (SRS IEEE 830)</t>
        </is>
      </c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B81" s="6" t="inlineStr">
        <is>
          <t>ACTIVIDAD</t>
        </is>
      </c>
      <c r="C81" s="5" t="n"/>
      <c r="D81" s="6" t="inlineStr">
        <is>
          <t>COSTOS</t>
        </is>
      </c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>
      <c r="B82" s="6" t="inlineStr">
        <is>
          <t>CODIGO</t>
        </is>
      </c>
      <c r="C82" s="6" t="inlineStr">
        <is>
          <t>DESCRIPCION</t>
        </is>
      </c>
      <c r="D82" s="7" t="inlineStr">
        <is>
          <t>RECURSOS HUMANOS</t>
        </is>
      </c>
      <c r="E82" s="8" t="n"/>
      <c r="F82" s="8" t="n"/>
      <c r="G82" s="8" t="n"/>
      <c r="H82" s="9" t="inlineStr">
        <is>
          <t>MAQUINARIA/EQUIPOS/INFRAESTRUCTURA</t>
        </is>
      </c>
      <c r="I82" s="10" t="n"/>
      <c r="J82" s="10" t="n"/>
      <c r="K82" s="10" t="n"/>
      <c r="L82" s="10" t="n"/>
      <c r="M82" s="11" t="inlineStr">
        <is>
          <t>CONSUMIBLES/SERVICIOS</t>
        </is>
      </c>
      <c r="N82" s="12" t="n"/>
      <c r="O82" s="12" t="n"/>
      <c r="P82" s="12" t="n"/>
    </row>
    <row r="83">
      <c r="D83" s="7" t="inlineStr">
        <is>
          <t>Nombre del Recurso</t>
        </is>
      </c>
      <c r="E83" s="7" t="inlineStr">
        <is>
          <t>Numero de Horas</t>
        </is>
      </c>
      <c r="F83" s="7" t="inlineStr">
        <is>
          <t>Costo x Hora</t>
        </is>
      </c>
      <c r="G83" s="7" t="inlineStr">
        <is>
          <t>Costo Total</t>
        </is>
      </c>
      <c r="H83" s="9" t="inlineStr">
        <is>
          <t>Nombre del Recurso</t>
        </is>
      </c>
      <c r="I83" s="9" t="inlineStr">
        <is>
          <t>Cantidad</t>
        </is>
      </c>
      <c r="J83" s="9" t="inlineStr">
        <is>
          <t>Costo x día</t>
        </is>
      </c>
      <c r="K83" s="9" t="inlineStr">
        <is>
          <t>Nro. De días</t>
        </is>
      </c>
      <c r="L83" s="9" t="inlineStr">
        <is>
          <t>Total</t>
        </is>
      </c>
      <c r="M83" s="11" t="inlineStr">
        <is>
          <t>Nombre del Recurso</t>
        </is>
      </c>
      <c r="N83" s="11" t="inlineStr">
        <is>
          <t>Cantidad</t>
        </is>
      </c>
      <c r="O83" s="11" t="inlineStr">
        <is>
          <t>Costo Unitario</t>
        </is>
      </c>
      <c r="P83" s="11" t="inlineStr">
        <is>
          <t>IMPORTE</t>
        </is>
      </c>
    </row>
    <row r="84">
      <c r="B84" s="13" t="inlineStr">
        <is>
          <t>2.1.1</t>
        </is>
      </c>
      <c r="C84" s="14" t="inlineStr">
        <is>
          <t>Especificar los requerimientos (SRS IEEE 830)</t>
        </is>
      </c>
      <c r="D84" s="15" t="inlineStr">
        <is>
          <t>Gerardo Plasencia (Líder)</t>
        </is>
      </c>
      <c r="E84" s="16" t="n">
        <v>4</v>
      </c>
      <c r="F84" s="17" t="n">
        <v>18</v>
      </c>
      <c r="G84" s="17">
        <f>E84*F84</f>
        <v/>
      </c>
      <c r="H84" s="15" t="inlineStr">
        <is>
          <t>Alquiler Laptops desarrollo</t>
        </is>
      </c>
      <c r="I84" s="16" t="n">
        <v>2</v>
      </c>
      <c r="J84" s="17" t="n">
        <v>5</v>
      </c>
      <c r="K84" s="16" t="n">
        <v>3</v>
      </c>
      <c r="L84" s="17">
        <f>I84*J84*K84</f>
        <v/>
      </c>
      <c r="M84" s="15" t="inlineStr">
        <is>
          <t>Energía eléctrica estaciones de trabajo</t>
        </is>
      </c>
      <c r="N84" s="16" t="n">
        <v>1</v>
      </c>
      <c r="O84" s="17" t="n">
        <v>14</v>
      </c>
      <c r="P84" s="17">
        <f>N84*O84</f>
        <v/>
      </c>
    </row>
    <row r="85">
      <c r="B85" s="18" t="n"/>
      <c r="C85" s="18" t="n"/>
      <c r="D85" s="15" t="inlineStr">
        <is>
          <t>Estibb Anhuaman (Frontend)</t>
        </is>
      </c>
      <c r="E85" s="16" t="n">
        <v>4</v>
      </c>
      <c r="F85" s="17" t="n">
        <v>16</v>
      </c>
      <c r="G85" s="17">
        <f>E85*F85</f>
        <v/>
      </c>
      <c r="H85" s="18" t="n"/>
      <c r="I85" s="18" t="n"/>
      <c r="J85" s="18" t="n"/>
      <c r="K85" s="18" t="n"/>
      <c r="L85" s="18" t="n"/>
      <c r="M85" s="15" t="inlineStr">
        <is>
          <t>Servicio de internet y entrevistas</t>
        </is>
      </c>
      <c r="N85" s="16" t="n">
        <v>1</v>
      </c>
      <c r="O85" s="17" t="n">
        <v>10</v>
      </c>
      <c r="P85" s="17">
        <f>N85*O85</f>
        <v/>
      </c>
    </row>
    <row r="86">
      <c r="B86" s="18" t="n"/>
      <c r="C86" s="19" t="inlineStr">
        <is>
          <t>SUB TOTAL ACTIVIDAD</t>
        </is>
      </c>
      <c r="D86" s="20">
        <f>SUM(G84:G85)</f>
        <v/>
      </c>
      <c r="E86" s="18" t="n"/>
      <c r="F86" s="18" t="n"/>
      <c r="G86" s="18" t="n"/>
      <c r="H86" s="20">
        <f>SUM(L84:L85)</f>
        <v/>
      </c>
      <c r="I86" s="18" t="n"/>
      <c r="J86" s="18" t="n"/>
      <c r="K86" s="18" t="n"/>
      <c r="L86" s="18" t="n"/>
      <c r="M86" s="20">
        <f>SUM(P84:P85)</f>
        <v/>
      </c>
      <c r="N86" s="18" t="n"/>
      <c r="O86" s="18" t="n"/>
      <c r="P86" s="18" t="n"/>
    </row>
    <row r="87">
      <c r="B87" s="21" t="n"/>
      <c r="C87" s="22" t="inlineStr">
        <is>
          <t>TOTAL ACTIVIDAD</t>
        </is>
      </c>
      <c r="D87" s="23">
        <f>D86+H86+M86</f>
        <v/>
      </c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</row>
    <row r="88">
      <c r="B88" s="24" t="inlineStr">
        <is>
          <t>SUB TOTAL PAQUETE</t>
        </is>
      </c>
      <c r="C88" s="18" t="n"/>
      <c r="D88" s="25">
        <f>SUM(D86)</f>
        <v/>
      </c>
      <c r="E88" s="18" t="n"/>
      <c r="F88" s="18" t="n"/>
      <c r="G88" s="18" t="n"/>
      <c r="H88" s="25">
        <f>SUM(H86)</f>
        <v/>
      </c>
      <c r="I88" s="18" t="n"/>
      <c r="J88" s="18" t="n"/>
      <c r="K88" s="18" t="n"/>
      <c r="L88" s="18" t="n"/>
      <c r="M88" s="25">
        <f>SUM(M86)</f>
        <v/>
      </c>
      <c r="N88" s="18" t="n"/>
      <c r="O88" s="18" t="n"/>
      <c r="P88" s="18" t="n"/>
    </row>
    <row r="89">
      <c r="B89" s="26" t="inlineStr">
        <is>
          <t>TOTAL PAQUETE</t>
        </is>
      </c>
      <c r="C89" s="21" t="n"/>
      <c r="D89" s="27">
        <f>D88+H88+M88</f>
        <v/>
      </c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1" ht="20" customHeight="1">
      <c r="B91" s="3" t="inlineStr">
        <is>
          <t>PAQUETE DE TRABAJO / ENTREGABLE</t>
        </is>
      </c>
      <c r="D91" s="4" t="inlineStr">
        <is>
          <t>EDT 2.2 – Estructura de Análisis y Antecedentes</t>
        </is>
      </c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>
      <c r="B92" s="6" t="inlineStr">
        <is>
          <t>ACTIVIDAD</t>
        </is>
      </c>
      <c r="C92" s="5" t="n"/>
      <c r="D92" s="6" t="inlineStr">
        <is>
          <t>COSTOS</t>
        </is>
      </c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B93" s="6" t="inlineStr">
        <is>
          <t>CODIGO</t>
        </is>
      </c>
      <c r="C93" s="6" t="inlineStr">
        <is>
          <t>DESCRIPCION</t>
        </is>
      </c>
      <c r="D93" s="7" t="inlineStr">
        <is>
          <t>RECURSOS HUMANOS</t>
        </is>
      </c>
      <c r="E93" s="8" t="n"/>
      <c r="F93" s="8" t="n"/>
      <c r="G93" s="8" t="n"/>
      <c r="H93" s="9" t="inlineStr">
        <is>
          <t>MAQUINARIA/EQUIPOS/INFRAESTRUCTURA</t>
        </is>
      </c>
      <c r="I93" s="10" t="n"/>
      <c r="J93" s="10" t="n"/>
      <c r="K93" s="10" t="n"/>
      <c r="L93" s="10" t="n"/>
      <c r="M93" s="11" t="inlineStr">
        <is>
          <t>CONSUMIBLES/SERVICIOS</t>
        </is>
      </c>
      <c r="N93" s="12" t="n"/>
      <c r="O93" s="12" t="n"/>
      <c r="P93" s="12" t="n"/>
    </row>
    <row r="94">
      <c r="D94" s="7" t="inlineStr">
        <is>
          <t>Nombre del Recurso</t>
        </is>
      </c>
      <c r="E94" s="7" t="inlineStr">
        <is>
          <t>Numero de Horas</t>
        </is>
      </c>
      <c r="F94" s="7" t="inlineStr">
        <is>
          <t>Costo x Hora</t>
        </is>
      </c>
      <c r="G94" s="7" t="inlineStr">
        <is>
          <t>Costo Total</t>
        </is>
      </c>
      <c r="H94" s="9" t="inlineStr">
        <is>
          <t>Nombre del Recurso</t>
        </is>
      </c>
      <c r="I94" s="9" t="inlineStr">
        <is>
          <t>Cantidad</t>
        </is>
      </c>
      <c r="J94" s="9" t="inlineStr">
        <is>
          <t>Costo x día</t>
        </is>
      </c>
      <c r="K94" s="9" t="inlineStr">
        <is>
          <t>Nro. De días</t>
        </is>
      </c>
      <c r="L94" s="9" t="inlineStr">
        <is>
          <t>Total</t>
        </is>
      </c>
      <c r="M94" s="11" t="inlineStr">
        <is>
          <t>Nombre del Recurso</t>
        </is>
      </c>
      <c r="N94" s="11" t="inlineStr">
        <is>
          <t>Cantidad</t>
        </is>
      </c>
      <c r="O94" s="11" t="inlineStr">
        <is>
          <t>Costo Unitario</t>
        </is>
      </c>
      <c r="P94" s="11" t="inlineStr">
        <is>
          <t>IMPORTE</t>
        </is>
      </c>
    </row>
    <row r="95">
      <c r="B95" s="13" t="inlineStr">
        <is>
          <t>2.2.1</t>
        </is>
      </c>
      <c r="C95" s="14" t="inlineStr">
        <is>
          <t>Elaborar la estructura de análisis</t>
        </is>
      </c>
      <c r="D95" s="15" t="inlineStr">
        <is>
          <t>Diego Rodríguez (Backend)</t>
        </is>
      </c>
      <c r="E95" s="16" t="n">
        <v>4</v>
      </c>
      <c r="F95" s="17" t="n">
        <v>16</v>
      </c>
      <c r="G95" s="17">
        <f>E95*F95</f>
        <v/>
      </c>
      <c r="H95" s="15" t="inlineStr">
        <is>
          <t>Alquiler Laptop desarrollo</t>
        </is>
      </c>
      <c r="I95" s="16" t="n">
        <v>1</v>
      </c>
      <c r="J95" s="17" t="n">
        <v>5</v>
      </c>
      <c r="K95" s="16" t="n">
        <v>4</v>
      </c>
      <c r="L95" s="17">
        <f>I95*J95*K95</f>
        <v/>
      </c>
      <c r="M95" s="15" t="inlineStr">
        <is>
          <t>Energía eléctrica e internet</t>
        </is>
      </c>
      <c r="N95" s="16" t="n">
        <v>1</v>
      </c>
      <c r="O95" s="17" t="n">
        <v>16</v>
      </c>
      <c r="P95" s="17">
        <f>N95*O95</f>
        <v/>
      </c>
    </row>
    <row r="96">
      <c r="B96" s="18" t="n"/>
      <c r="C96" s="19" t="inlineStr">
        <is>
          <t>SUB TOTAL ACTIVIDAD</t>
        </is>
      </c>
      <c r="D96" s="20">
        <f>SUM(G95:G95)</f>
        <v/>
      </c>
      <c r="E96" s="18" t="n"/>
      <c r="F96" s="18" t="n"/>
      <c r="G96" s="18" t="n"/>
      <c r="H96" s="20">
        <f>SUM(L95:L95)</f>
        <v/>
      </c>
      <c r="I96" s="18" t="n"/>
      <c r="J96" s="18" t="n"/>
      <c r="K96" s="18" t="n"/>
      <c r="L96" s="18" t="n"/>
      <c r="M96" s="20">
        <f>SUM(P95:P95)</f>
        <v/>
      </c>
      <c r="N96" s="18" t="n"/>
      <c r="O96" s="18" t="n"/>
      <c r="P96" s="18" t="n"/>
    </row>
    <row r="97">
      <c r="B97" s="21" t="n"/>
      <c r="C97" s="22" t="inlineStr">
        <is>
          <t>TOTAL ACTIVIDAD</t>
        </is>
      </c>
      <c r="D97" s="23">
        <f>D96+H96+M96</f>
        <v/>
      </c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>
      <c r="B98" s="24" t="inlineStr">
        <is>
          <t>SUB TOTAL PAQUETE</t>
        </is>
      </c>
      <c r="C98" s="18" t="n"/>
      <c r="D98" s="25">
        <f>SUM(D96)</f>
        <v/>
      </c>
      <c r="E98" s="18" t="n"/>
      <c r="F98" s="18" t="n"/>
      <c r="G98" s="18" t="n"/>
      <c r="H98" s="25">
        <f>SUM(H96)</f>
        <v/>
      </c>
      <c r="I98" s="18" t="n"/>
      <c r="J98" s="18" t="n"/>
      <c r="K98" s="18" t="n"/>
      <c r="L98" s="18" t="n"/>
      <c r="M98" s="25">
        <f>SUM(M96)</f>
        <v/>
      </c>
      <c r="N98" s="18" t="n"/>
      <c r="O98" s="18" t="n"/>
      <c r="P98" s="18" t="n"/>
    </row>
    <row r="99">
      <c r="B99" s="26" t="inlineStr">
        <is>
          <t>TOTAL PAQUETE</t>
        </is>
      </c>
      <c r="C99" s="21" t="n"/>
      <c r="D99" s="27">
        <f>D98+H98+M98</f>
        <v/>
      </c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</row>
    <row r="101" ht="20" customHeight="1">
      <c r="B101" s="3" t="inlineStr">
        <is>
          <t>PAQUETE DE TRABAJO / ENTREGABLE</t>
        </is>
      </c>
      <c r="D101" s="4" t="inlineStr">
        <is>
          <t>EDT 2.3 – Matriz de Consistencia Lógica</t>
        </is>
      </c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  <row r="102">
      <c r="B102" s="6" t="inlineStr">
        <is>
          <t>ACTIVIDAD</t>
        </is>
      </c>
      <c r="C102" s="5" t="n"/>
      <c r="D102" s="6" t="inlineStr">
        <is>
          <t>COSTOS</t>
        </is>
      </c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B103" s="6" t="inlineStr">
        <is>
          <t>CODIGO</t>
        </is>
      </c>
      <c r="C103" s="6" t="inlineStr">
        <is>
          <t>DESCRIPCION</t>
        </is>
      </c>
      <c r="D103" s="7" t="inlineStr">
        <is>
          <t>RECURSOS HUMANOS</t>
        </is>
      </c>
      <c r="E103" s="8" t="n"/>
      <c r="F103" s="8" t="n"/>
      <c r="G103" s="8" t="n"/>
      <c r="H103" s="9" t="inlineStr">
        <is>
          <t>MAQUINARIA/EQUIPOS/INFRAESTRUCTURA</t>
        </is>
      </c>
      <c r="I103" s="10" t="n"/>
      <c r="J103" s="10" t="n"/>
      <c r="K103" s="10" t="n"/>
      <c r="L103" s="10" t="n"/>
      <c r="M103" s="11" t="inlineStr">
        <is>
          <t>CONSUMIBLES/SERVICIOS</t>
        </is>
      </c>
      <c r="N103" s="12" t="n"/>
      <c r="O103" s="12" t="n"/>
      <c r="P103" s="12" t="n"/>
    </row>
    <row r="104">
      <c r="D104" s="7" t="inlineStr">
        <is>
          <t>Nombre del Recurso</t>
        </is>
      </c>
      <c r="E104" s="7" t="inlineStr">
        <is>
          <t>Numero de Horas</t>
        </is>
      </c>
      <c r="F104" s="7" t="inlineStr">
        <is>
          <t>Costo x Hora</t>
        </is>
      </c>
      <c r="G104" s="7" t="inlineStr">
        <is>
          <t>Costo Total</t>
        </is>
      </c>
      <c r="H104" s="9" t="inlineStr">
        <is>
          <t>Nombre del Recurso</t>
        </is>
      </c>
      <c r="I104" s="9" t="inlineStr">
        <is>
          <t>Cantidad</t>
        </is>
      </c>
      <c r="J104" s="9" t="inlineStr">
        <is>
          <t>Costo x día</t>
        </is>
      </c>
      <c r="K104" s="9" t="inlineStr">
        <is>
          <t>Nro. De días</t>
        </is>
      </c>
      <c r="L104" s="9" t="inlineStr">
        <is>
          <t>Total</t>
        </is>
      </c>
      <c r="M104" s="11" t="inlineStr">
        <is>
          <t>Nombre del Recurso</t>
        </is>
      </c>
      <c r="N104" s="11" t="inlineStr">
        <is>
          <t>Cantidad</t>
        </is>
      </c>
      <c r="O104" s="11" t="inlineStr">
        <is>
          <t>Costo Unitario</t>
        </is>
      </c>
      <c r="P104" s="11" t="inlineStr">
        <is>
          <t>IMPORTE</t>
        </is>
      </c>
    </row>
    <row r="105">
      <c r="B105" s="13" t="inlineStr">
        <is>
          <t>2.3.1</t>
        </is>
      </c>
      <c r="C105" s="14" t="inlineStr">
        <is>
          <t>Elaborar la matriz de consistencia</t>
        </is>
      </c>
      <c r="D105" s="15" t="inlineStr">
        <is>
          <t>Gerardo Plasencia (Líder)</t>
        </is>
      </c>
      <c r="E105" s="16" t="n">
        <v>4</v>
      </c>
      <c r="F105" s="17" t="n">
        <v>16</v>
      </c>
      <c r="G105" s="17">
        <f>E105*F105</f>
        <v/>
      </c>
      <c r="H105" s="15" t="inlineStr">
        <is>
          <t>Alquiler Laptop desarrollo</t>
        </is>
      </c>
      <c r="I105" s="16" t="n">
        <v>1</v>
      </c>
      <c r="J105" s="17" t="n">
        <v>5</v>
      </c>
      <c r="K105" s="16" t="n">
        <v>4</v>
      </c>
      <c r="L105" s="17">
        <f>I105*J105*K105</f>
        <v/>
      </c>
      <c r="M105" s="15" t="inlineStr">
        <is>
          <t>Energía eléctrica e internet</t>
        </is>
      </c>
      <c r="N105" s="16" t="n">
        <v>1</v>
      </c>
      <c r="O105" s="17" t="n">
        <v>16</v>
      </c>
      <c r="P105" s="17">
        <f>N105*O105</f>
        <v/>
      </c>
    </row>
    <row r="106">
      <c r="B106" s="18" t="n"/>
      <c r="C106" s="19" t="inlineStr">
        <is>
          <t>SUB TOTAL ACTIVIDAD</t>
        </is>
      </c>
      <c r="D106" s="20">
        <f>SUM(G105:G105)</f>
        <v/>
      </c>
      <c r="E106" s="18" t="n"/>
      <c r="F106" s="18" t="n"/>
      <c r="G106" s="18" t="n"/>
      <c r="H106" s="20">
        <f>SUM(L105:L105)</f>
        <v/>
      </c>
      <c r="I106" s="18" t="n"/>
      <c r="J106" s="18" t="n"/>
      <c r="K106" s="18" t="n"/>
      <c r="L106" s="18" t="n"/>
      <c r="M106" s="20">
        <f>SUM(P105:P105)</f>
        <v/>
      </c>
      <c r="N106" s="18" t="n"/>
      <c r="O106" s="18" t="n"/>
      <c r="P106" s="18" t="n"/>
    </row>
    <row r="107">
      <c r="B107" s="21" t="n"/>
      <c r="C107" s="22" t="inlineStr">
        <is>
          <t>TOTAL ACTIVIDAD</t>
        </is>
      </c>
      <c r="D107" s="23">
        <f>D106+H106+M106</f>
        <v/>
      </c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</row>
    <row r="108">
      <c r="B108" s="24" t="inlineStr">
        <is>
          <t>SUB TOTAL PAQUETE</t>
        </is>
      </c>
      <c r="C108" s="18" t="n"/>
      <c r="D108" s="25">
        <f>SUM(D106)</f>
        <v/>
      </c>
      <c r="E108" s="18" t="n"/>
      <c r="F108" s="18" t="n"/>
      <c r="G108" s="18" t="n"/>
      <c r="H108" s="25">
        <f>SUM(H106)</f>
        <v/>
      </c>
      <c r="I108" s="18" t="n"/>
      <c r="J108" s="18" t="n"/>
      <c r="K108" s="18" t="n"/>
      <c r="L108" s="18" t="n"/>
      <c r="M108" s="25">
        <f>SUM(M106)</f>
        <v/>
      </c>
      <c r="N108" s="18" t="n"/>
      <c r="O108" s="18" t="n"/>
      <c r="P108" s="18" t="n"/>
    </row>
    <row r="109">
      <c r="B109" s="26" t="inlineStr">
        <is>
          <t>TOTAL PAQUETE</t>
        </is>
      </c>
      <c r="C109" s="21" t="n"/>
      <c r="D109" s="27">
        <f>D108+H108+M108</f>
        <v/>
      </c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</row>
    <row r="111" ht="24" customHeight="1">
      <c r="B111" s="1" t="inlineStr">
        <is>
          <t>FASE 3.0: DISEÑO DE LA SOLUCIÓN Y ARQUITECTURA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 ht="20" customHeight="1">
      <c r="B112" s="3" t="inlineStr">
        <is>
          <t>PAQUETE DE TRABAJO / ENTREGABLE</t>
        </is>
      </c>
      <c r="D112" s="4" t="inlineStr">
        <is>
          <t>EDT 3.1 – Arquitectura del Sistema VPS Docker</t>
        </is>
      </c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B113" s="6" t="inlineStr">
        <is>
          <t>ACTIVIDAD</t>
        </is>
      </c>
      <c r="C113" s="5" t="n"/>
      <c r="D113" s="6" t="inlineStr">
        <is>
          <t>COSTOS</t>
        </is>
      </c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B114" s="6" t="inlineStr">
        <is>
          <t>CODIGO</t>
        </is>
      </c>
      <c r="C114" s="6" t="inlineStr">
        <is>
          <t>DESCRIPCION</t>
        </is>
      </c>
      <c r="D114" s="7" t="inlineStr">
        <is>
          <t>RECURSOS HUMANOS</t>
        </is>
      </c>
      <c r="E114" s="8" t="n"/>
      <c r="F114" s="8" t="n"/>
      <c r="G114" s="8" t="n"/>
      <c r="H114" s="9" t="inlineStr">
        <is>
          <t>MAQUINARIA/EQUIPOS/INFRAESTRUCTURA</t>
        </is>
      </c>
      <c r="I114" s="10" t="n"/>
      <c r="J114" s="10" t="n"/>
      <c r="K114" s="10" t="n"/>
      <c r="L114" s="10" t="n"/>
      <c r="M114" s="11" t="inlineStr">
        <is>
          <t>CONSUMIBLES/SERVICIOS</t>
        </is>
      </c>
      <c r="N114" s="12" t="n"/>
      <c r="O114" s="12" t="n"/>
      <c r="P114" s="12" t="n"/>
    </row>
    <row r="115">
      <c r="D115" s="7" t="inlineStr">
        <is>
          <t>Nombre del Recurso</t>
        </is>
      </c>
      <c r="E115" s="7" t="inlineStr">
        <is>
          <t>Numero de Horas</t>
        </is>
      </c>
      <c r="F115" s="7" t="inlineStr">
        <is>
          <t>Costo x Hora</t>
        </is>
      </c>
      <c r="G115" s="7" t="inlineStr">
        <is>
          <t>Costo Total</t>
        </is>
      </c>
      <c r="H115" s="9" t="inlineStr">
        <is>
          <t>Nombre del Recurso</t>
        </is>
      </c>
      <c r="I115" s="9" t="inlineStr">
        <is>
          <t>Cantidad</t>
        </is>
      </c>
      <c r="J115" s="9" t="inlineStr">
        <is>
          <t>Costo x día</t>
        </is>
      </c>
      <c r="K115" s="9" t="inlineStr">
        <is>
          <t>Nro. De días</t>
        </is>
      </c>
      <c r="L115" s="9" t="inlineStr">
        <is>
          <t>Total</t>
        </is>
      </c>
      <c r="M115" s="11" t="inlineStr">
        <is>
          <t>Nombre del Recurso</t>
        </is>
      </c>
      <c r="N115" s="11" t="inlineStr">
        <is>
          <t>Cantidad</t>
        </is>
      </c>
      <c r="O115" s="11" t="inlineStr">
        <is>
          <t>Costo Unitario</t>
        </is>
      </c>
      <c r="P115" s="11" t="inlineStr">
        <is>
          <t>IMPORTE</t>
        </is>
      </c>
    </row>
    <row r="116">
      <c r="B116" s="13" t="inlineStr">
        <is>
          <t>3.1.1</t>
        </is>
      </c>
      <c r="C116" s="14" t="inlineStr">
        <is>
          <t>Diseñar la arquitectura del sistema VPS</t>
        </is>
      </c>
      <c r="D116" s="15" t="inlineStr">
        <is>
          <t>Gerardo Plasencia (Líder)</t>
        </is>
      </c>
      <c r="E116" s="16" t="n">
        <v>3</v>
      </c>
      <c r="F116" s="17" t="n">
        <v>20</v>
      </c>
      <c r="G116" s="17">
        <f>E116*F116</f>
        <v/>
      </c>
      <c r="H116" s="15" t="inlineStr">
        <is>
          <t>Alquiler Laptop desarrollo y Docker local</t>
        </is>
      </c>
      <c r="I116" s="16" t="n">
        <v>1</v>
      </c>
      <c r="J116" s="17" t="n">
        <v>5</v>
      </c>
      <c r="K116" s="16" t="n">
        <v>6</v>
      </c>
      <c r="L116" s="17">
        <f>I116*J116*K116</f>
        <v/>
      </c>
      <c r="M116" s="15" t="inlineStr">
        <is>
          <t>Energía eléctrica y conectividad técnica</t>
        </is>
      </c>
      <c r="N116" s="16" t="n">
        <v>1</v>
      </c>
      <c r="O116" s="17" t="n">
        <v>24</v>
      </c>
      <c r="P116" s="17">
        <f>N116*O116</f>
        <v/>
      </c>
    </row>
    <row r="117">
      <c r="B117" s="18" t="n"/>
      <c r="C117" s="18" t="n"/>
      <c r="D117" s="15" t="inlineStr">
        <is>
          <t>Diego Rodríguez (Backend)</t>
        </is>
      </c>
      <c r="E117" s="16" t="n">
        <v>2</v>
      </c>
      <c r="F117" s="17" t="n">
        <v>18</v>
      </c>
      <c r="G117" s="17">
        <f>E117*F117</f>
        <v/>
      </c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</row>
    <row r="118">
      <c r="B118" s="18" t="n"/>
      <c r="C118" s="19" t="inlineStr">
        <is>
          <t>SUB TOTAL ACTIVIDAD</t>
        </is>
      </c>
      <c r="D118" s="20">
        <f>SUM(G116:G117)</f>
        <v/>
      </c>
      <c r="E118" s="18" t="n"/>
      <c r="F118" s="18" t="n"/>
      <c r="G118" s="18" t="n"/>
      <c r="H118" s="20">
        <f>SUM(L116:L117)</f>
        <v/>
      </c>
      <c r="I118" s="18" t="n"/>
      <c r="J118" s="18" t="n"/>
      <c r="K118" s="18" t="n"/>
      <c r="L118" s="18" t="n"/>
      <c r="M118" s="20">
        <f>SUM(P116:P117)</f>
        <v/>
      </c>
      <c r="N118" s="18" t="n"/>
      <c r="O118" s="18" t="n"/>
      <c r="P118" s="18" t="n"/>
    </row>
    <row r="119">
      <c r="B119" s="21" t="n"/>
      <c r="C119" s="22" t="inlineStr">
        <is>
          <t>TOTAL ACTIVIDAD</t>
        </is>
      </c>
      <c r="D119" s="23">
        <f>D118+H118+M118</f>
        <v/>
      </c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</row>
    <row r="120">
      <c r="B120" s="24" t="inlineStr">
        <is>
          <t>SUB TOTAL PAQUETE</t>
        </is>
      </c>
      <c r="C120" s="18" t="n"/>
      <c r="D120" s="25">
        <f>SUM(D118)</f>
        <v/>
      </c>
      <c r="E120" s="18" t="n"/>
      <c r="F120" s="18" t="n"/>
      <c r="G120" s="18" t="n"/>
      <c r="H120" s="25">
        <f>SUM(H118)</f>
        <v/>
      </c>
      <c r="I120" s="18" t="n"/>
      <c r="J120" s="18" t="n"/>
      <c r="K120" s="18" t="n"/>
      <c r="L120" s="18" t="n"/>
      <c r="M120" s="25">
        <f>SUM(M118)</f>
        <v/>
      </c>
      <c r="N120" s="18" t="n"/>
      <c r="O120" s="18" t="n"/>
      <c r="P120" s="18" t="n"/>
    </row>
    <row r="121">
      <c r="B121" s="26" t="inlineStr">
        <is>
          <t>TOTAL PAQUETE</t>
        </is>
      </c>
      <c r="C121" s="21" t="n"/>
      <c r="D121" s="27">
        <f>D120+H120+M120</f>
        <v/>
      </c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</row>
    <row r="123" ht="20" customHeight="1">
      <c r="B123" s="3" t="inlineStr">
        <is>
          <t>PAQUETE DE TRABAJO / ENTREGABLE</t>
        </is>
      </c>
      <c r="D123" s="4" t="inlineStr">
        <is>
          <t>EDT 3.2 – Modelado Ágil e Historias de Usuario</t>
        </is>
      </c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B124" s="6" t="inlineStr">
        <is>
          <t>ACTIVIDAD</t>
        </is>
      </c>
      <c r="C124" s="5" t="n"/>
      <c r="D124" s="6" t="inlineStr">
        <is>
          <t>COSTOS</t>
        </is>
      </c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B125" s="6" t="inlineStr">
        <is>
          <t>CODIGO</t>
        </is>
      </c>
      <c r="C125" s="6" t="inlineStr">
        <is>
          <t>DESCRIPCION</t>
        </is>
      </c>
      <c r="D125" s="7" t="inlineStr">
        <is>
          <t>RECURSOS HUMANOS</t>
        </is>
      </c>
      <c r="E125" s="8" t="n"/>
      <c r="F125" s="8" t="n"/>
      <c r="G125" s="8" t="n"/>
      <c r="H125" s="9" t="inlineStr">
        <is>
          <t>MAQUINARIA/EQUIPOS/INFRAESTRUCTURA</t>
        </is>
      </c>
      <c r="I125" s="10" t="n"/>
      <c r="J125" s="10" t="n"/>
      <c r="K125" s="10" t="n"/>
      <c r="L125" s="10" t="n"/>
      <c r="M125" s="11" t="inlineStr">
        <is>
          <t>CONSUMIBLES/SERVICIOS</t>
        </is>
      </c>
      <c r="N125" s="12" t="n"/>
      <c r="O125" s="12" t="n"/>
      <c r="P125" s="12" t="n"/>
    </row>
    <row r="126">
      <c r="D126" s="7" t="inlineStr">
        <is>
          <t>Nombre del Recurso</t>
        </is>
      </c>
      <c r="E126" s="7" t="inlineStr">
        <is>
          <t>Numero de Horas</t>
        </is>
      </c>
      <c r="F126" s="7" t="inlineStr">
        <is>
          <t>Costo x Hora</t>
        </is>
      </c>
      <c r="G126" s="7" t="inlineStr">
        <is>
          <t>Costo Total</t>
        </is>
      </c>
      <c r="H126" s="9" t="inlineStr">
        <is>
          <t>Nombre del Recurso</t>
        </is>
      </c>
      <c r="I126" s="9" t="inlineStr">
        <is>
          <t>Cantidad</t>
        </is>
      </c>
      <c r="J126" s="9" t="inlineStr">
        <is>
          <t>Costo x día</t>
        </is>
      </c>
      <c r="K126" s="9" t="inlineStr">
        <is>
          <t>Nro. De días</t>
        </is>
      </c>
      <c r="L126" s="9" t="inlineStr">
        <is>
          <t>Total</t>
        </is>
      </c>
      <c r="M126" s="11" t="inlineStr">
        <is>
          <t>Nombre del Recurso</t>
        </is>
      </c>
      <c r="N126" s="11" t="inlineStr">
        <is>
          <t>Cantidad</t>
        </is>
      </c>
      <c r="O126" s="11" t="inlineStr">
        <is>
          <t>Costo Unitario</t>
        </is>
      </c>
      <c r="P126" s="11" t="inlineStr">
        <is>
          <t>IMPORTE</t>
        </is>
      </c>
    </row>
    <row r="127">
      <c r="B127" s="13" t="inlineStr">
        <is>
          <t>3.2.1</t>
        </is>
      </c>
      <c r="C127" s="14" t="inlineStr">
        <is>
          <t>Elaborar modelado ágil e historias de usuario</t>
        </is>
      </c>
      <c r="D127" s="15" t="inlineStr">
        <is>
          <t>Estibb Anhuaman (Frontend)</t>
        </is>
      </c>
      <c r="E127" s="16" t="n">
        <v>4</v>
      </c>
      <c r="F127" s="17" t="n">
        <v>16</v>
      </c>
      <c r="G127" s="17">
        <f>E127*F127</f>
        <v/>
      </c>
      <c r="H127" s="15" t="inlineStr">
        <is>
          <t>Alquiler Laptop diseño UI/UX</t>
        </is>
      </c>
      <c r="I127" s="16" t="n">
        <v>1</v>
      </c>
      <c r="J127" s="17" t="n">
        <v>5</v>
      </c>
      <c r="K127" s="16" t="n">
        <v>4</v>
      </c>
      <c r="L127" s="17">
        <f>I127*J127*K127</f>
        <v/>
      </c>
      <c r="M127" s="15" t="inlineStr">
        <is>
          <t>Energía eléctrica y conexión de red</t>
        </is>
      </c>
      <c r="N127" s="16" t="n">
        <v>1</v>
      </c>
      <c r="O127" s="17" t="n">
        <v>16</v>
      </c>
      <c r="P127" s="17">
        <f>N127*O127</f>
        <v/>
      </c>
    </row>
    <row r="128">
      <c r="B128" s="18" t="n"/>
      <c r="C128" s="19" t="inlineStr">
        <is>
          <t>SUB TOTAL ACTIVIDAD</t>
        </is>
      </c>
      <c r="D128" s="20">
        <f>SUM(G127:G127)</f>
        <v/>
      </c>
      <c r="E128" s="18" t="n"/>
      <c r="F128" s="18" t="n"/>
      <c r="G128" s="18" t="n"/>
      <c r="H128" s="20">
        <f>SUM(L127:L127)</f>
        <v/>
      </c>
      <c r="I128" s="18" t="n"/>
      <c r="J128" s="18" t="n"/>
      <c r="K128" s="18" t="n"/>
      <c r="L128" s="18" t="n"/>
      <c r="M128" s="20">
        <f>SUM(P127:P127)</f>
        <v/>
      </c>
      <c r="N128" s="18" t="n"/>
      <c r="O128" s="18" t="n"/>
      <c r="P128" s="18" t="n"/>
    </row>
    <row r="129">
      <c r="B129" s="21" t="n"/>
      <c r="C129" s="22" t="inlineStr">
        <is>
          <t>TOTAL ACTIVIDAD</t>
        </is>
      </c>
      <c r="D129" s="23">
        <f>D128+H128+M128</f>
        <v/>
      </c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</row>
    <row r="130">
      <c r="B130" s="24" t="inlineStr">
        <is>
          <t>SUB TOTAL PAQUETE</t>
        </is>
      </c>
      <c r="C130" s="18" t="n"/>
      <c r="D130" s="25">
        <f>SUM(D128)</f>
        <v/>
      </c>
      <c r="E130" s="18" t="n"/>
      <c r="F130" s="18" t="n"/>
      <c r="G130" s="18" t="n"/>
      <c r="H130" s="25">
        <f>SUM(H128)</f>
        <v/>
      </c>
      <c r="I130" s="18" t="n"/>
      <c r="J130" s="18" t="n"/>
      <c r="K130" s="18" t="n"/>
      <c r="L130" s="18" t="n"/>
      <c r="M130" s="25">
        <f>SUM(M128)</f>
        <v/>
      </c>
      <c r="N130" s="18" t="n"/>
      <c r="O130" s="18" t="n"/>
      <c r="P130" s="18" t="n"/>
    </row>
    <row r="131">
      <c r="B131" s="26" t="inlineStr">
        <is>
          <t>TOTAL PAQUETE</t>
        </is>
      </c>
      <c r="C131" s="21" t="n"/>
      <c r="D131" s="27">
        <f>D130+H130+M130</f>
        <v/>
      </c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</row>
    <row r="133" ht="20" customHeight="1">
      <c r="B133" s="3" t="inlineStr">
        <is>
          <t>PAQUETE DE TRABAJO / ENTREGABLE</t>
        </is>
      </c>
      <c r="D133" s="4" t="inlineStr">
        <is>
          <t>EDT 3.3 – Base de Datos Relacional PostgreSQL</t>
        </is>
      </c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B134" s="6" t="inlineStr">
        <is>
          <t>ACTIVIDAD</t>
        </is>
      </c>
      <c r="C134" s="5" t="n"/>
      <c r="D134" s="6" t="inlineStr">
        <is>
          <t>COSTOS</t>
        </is>
      </c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B135" s="6" t="inlineStr">
        <is>
          <t>CODIGO</t>
        </is>
      </c>
      <c r="C135" s="6" t="inlineStr">
        <is>
          <t>DESCRIPCION</t>
        </is>
      </c>
      <c r="D135" s="7" t="inlineStr">
        <is>
          <t>RECURSOS HUMANOS</t>
        </is>
      </c>
      <c r="E135" s="8" t="n"/>
      <c r="F135" s="8" t="n"/>
      <c r="G135" s="8" t="n"/>
      <c r="H135" s="9" t="inlineStr">
        <is>
          <t>MAQUINARIA/EQUIPOS/INFRAESTRUCTURA</t>
        </is>
      </c>
      <c r="I135" s="10" t="n"/>
      <c r="J135" s="10" t="n"/>
      <c r="K135" s="10" t="n"/>
      <c r="L135" s="10" t="n"/>
      <c r="M135" s="11" t="inlineStr">
        <is>
          <t>CONSUMIBLES/SERVICIOS</t>
        </is>
      </c>
      <c r="N135" s="12" t="n"/>
      <c r="O135" s="12" t="n"/>
      <c r="P135" s="12" t="n"/>
    </row>
    <row r="136">
      <c r="D136" s="7" t="inlineStr">
        <is>
          <t>Nombre del Recurso</t>
        </is>
      </c>
      <c r="E136" s="7" t="inlineStr">
        <is>
          <t>Numero de Horas</t>
        </is>
      </c>
      <c r="F136" s="7" t="inlineStr">
        <is>
          <t>Costo x Hora</t>
        </is>
      </c>
      <c r="G136" s="7" t="inlineStr">
        <is>
          <t>Costo Total</t>
        </is>
      </c>
      <c r="H136" s="9" t="inlineStr">
        <is>
          <t>Nombre del Recurso</t>
        </is>
      </c>
      <c r="I136" s="9" t="inlineStr">
        <is>
          <t>Cantidad</t>
        </is>
      </c>
      <c r="J136" s="9" t="inlineStr">
        <is>
          <t>Costo x día</t>
        </is>
      </c>
      <c r="K136" s="9" t="inlineStr">
        <is>
          <t>Nro. De días</t>
        </is>
      </c>
      <c r="L136" s="9" t="inlineStr">
        <is>
          <t>Total</t>
        </is>
      </c>
      <c r="M136" s="11" t="inlineStr">
        <is>
          <t>Nombre del Recurso</t>
        </is>
      </c>
      <c r="N136" s="11" t="inlineStr">
        <is>
          <t>Cantidad</t>
        </is>
      </c>
      <c r="O136" s="11" t="inlineStr">
        <is>
          <t>Costo Unitario</t>
        </is>
      </c>
      <c r="P136" s="11" t="inlineStr">
        <is>
          <t>IMPORTE</t>
        </is>
      </c>
    </row>
    <row r="137">
      <c r="B137" s="13" t="inlineStr">
        <is>
          <t>3.3.1</t>
        </is>
      </c>
      <c r="C137" s="14" t="inlineStr">
        <is>
          <t>Diseñar la base de datos relacional PostgreSQL</t>
        </is>
      </c>
      <c r="D137" s="15" t="inlineStr">
        <is>
          <t>Diego Rodríguez (Backend)</t>
        </is>
      </c>
      <c r="E137" s="16" t="n">
        <v>5</v>
      </c>
      <c r="F137" s="17" t="n">
        <v>16</v>
      </c>
      <c r="G137" s="17">
        <f>E137*F137</f>
        <v/>
      </c>
      <c r="H137" s="15" t="inlineStr">
        <is>
          <t>Alquiler Laptop entorno PostgreSQL</t>
        </is>
      </c>
      <c r="I137" s="16" t="n">
        <v>1</v>
      </c>
      <c r="J137" s="17" t="n">
        <v>5</v>
      </c>
      <c r="K137" s="16" t="n">
        <v>5</v>
      </c>
      <c r="L137" s="17">
        <f>I137*J137*K137</f>
        <v/>
      </c>
      <c r="M137" s="15" t="inlineStr">
        <is>
          <t>Energía eléctrica e internet</t>
        </is>
      </c>
      <c r="N137" s="16" t="n">
        <v>1</v>
      </c>
      <c r="O137" s="17" t="n">
        <v>20</v>
      </c>
      <c r="P137" s="17">
        <f>N137*O137</f>
        <v/>
      </c>
    </row>
    <row r="138">
      <c r="B138" s="18" t="n"/>
      <c r="C138" s="19" t="inlineStr">
        <is>
          <t>SUB TOTAL ACTIVIDAD</t>
        </is>
      </c>
      <c r="D138" s="20">
        <f>SUM(G137:G137)</f>
        <v/>
      </c>
      <c r="E138" s="18" t="n"/>
      <c r="F138" s="18" t="n"/>
      <c r="G138" s="18" t="n"/>
      <c r="H138" s="20">
        <f>SUM(L137:L137)</f>
        <v/>
      </c>
      <c r="I138" s="18" t="n"/>
      <c r="J138" s="18" t="n"/>
      <c r="K138" s="18" t="n"/>
      <c r="L138" s="18" t="n"/>
      <c r="M138" s="20">
        <f>SUM(P137:P137)</f>
        <v/>
      </c>
      <c r="N138" s="18" t="n"/>
      <c r="O138" s="18" t="n"/>
      <c r="P138" s="18" t="n"/>
    </row>
    <row r="139">
      <c r="B139" s="21" t="n"/>
      <c r="C139" s="22" t="inlineStr">
        <is>
          <t>TOTAL ACTIVIDAD</t>
        </is>
      </c>
      <c r="D139" s="23">
        <f>D138+H138+M138</f>
        <v/>
      </c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</row>
    <row r="140">
      <c r="B140" s="24" t="inlineStr">
        <is>
          <t>SUB TOTAL PAQUETE</t>
        </is>
      </c>
      <c r="C140" s="18" t="n"/>
      <c r="D140" s="25">
        <f>SUM(D138)</f>
        <v/>
      </c>
      <c r="E140" s="18" t="n"/>
      <c r="F140" s="18" t="n"/>
      <c r="G140" s="18" t="n"/>
      <c r="H140" s="25">
        <f>SUM(H138)</f>
        <v/>
      </c>
      <c r="I140" s="18" t="n"/>
      <c r="J140" s="18" t="n"/>
      <c r="K140" s="18" t="n"/>
      <c r="L140" s="18" t="n"/>
      <c r="M140" s="25">
        <f>SUM(M138)</f>
        <v/>
      </c>
      <c r="N140" s="18" t="n"/>
      <c r="O140" s="18" t="n"/>
      <c r="P140" s="18" t="n"/>
    </row>
    <row r="141">
      <c r="B141" s="26" t="inlineStr">
        <is>
          <t>TOTAL PAQUETE</t>
        </is>
      </c>
      <c r="C141" s="21" t="n"/>
      <c r="D141" s="27">
        <f>D140+H140+M140</f>
        <v/>
      </c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</row>
    <row r="143" ht="20" customHeight="1">
      <c r="B143" s="3" t="inlineStr">
        <is>
          <t>PAQUETE DE TRABAJO / ENTREGABLE</t>
        </is>
      </c>
      <c r="D143" s="4" t="inlineStr">
        <is>
          <t>EDT 3.4 – Prototipos e Interfaces UI Angular</t>
        </is>
      </c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B144" s="6" t="inlineStr">
        <is>
          <t>ACTIVIDAD</t>
        </is>
      </c>
      <c r="C144" s="5" t="n"/>
      <c r="D144" s="6" t="inlineStr">
        <is>
          <t>COSTOS</t>
        </is>
      </c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B145" s="6" t="inlineStr">
        <is>
          <t>CODIGO</t>
        </is>
      </c>
      <c r="C145" s="6" t="inlineStr">
        <is>
          <t>DESCRIPCION</t>
        </is>
      </c>
      <c r="D145" s="7" t="inlineStr">
        <is>
          <t>RECURSOS HUMANOS</t>
        </is>
      </c>
      <c r="E145" s="8" t="n"/>
      <c r="F145" s="8" t="n"/>
      <c r="G145" s="8" t="n"/>
      <c r="H145" s="9" t="inlineStr">
        <is>
          <t>MAQUINARIA/EQUIPOS/INFRAESTRUCTURA</t>
        </is>
      </c>
      <c r="I145" s="10" t="n"/>
      <c r="J145" s="10" t="n"/>
      <c r="K145" s="10" t="n"/>
      <c r="L145" s="10" t="n"/>
      <c r="M145" s="11" t="inlineStr">
        <is>
          <t>CONSUMIBLES/SERVICIOS</t>
        </is>
      </c>
      <c r="N145" s="12" t="n"/>
      <c r="O145" s="12" t="n"/>
      <c r="P145" s="12" t="n"/>
    </row>
    <row r="146">
      <c r="D146" s="7" t="inlineStr">
        <is>
          <t>Nombre del Recurso</t>
        </is>
      </c>
      <c r="E146" s="7" t="inlineStr">
        <is>
          <t>Numero de Horas</t>
        </is>
      </c>
      <c r="F146" s="7" t="inlineStr">
        <is>
          <t>Costo x Hora</t>
        </is>
      </c>
      <c r="G146" s="7" t="inlineStr">
        <is>
          <t>Costo Total</t>
        </is>
      </c>
      <c r="H146" s="9" t="inlineStr">
        <is>
          <t>Nombre del Recurso</t>
        </is>
      </c>
      <c r="I146" s="9" t="inlineStr">
        <is>
          <t>Cantidad</t>
        </is>
      </c>
      <c r="J146" s="9" t="inlineStr">
        <is>
          <t>Costo x día</t>
        </is>
      </c>
      <c r="K146" s="9" t="inlineStr">
        <is>
          <t>Nro. De días</t>
        </is>
      </c>
      <c r="L146" s="9" t="inlineStr">
        <is>
          <t>Total</t>
        </is>
      </c>
      <c r="M146" s="11" t="inlineStr">
        <is>
          <t>Nombre del Recurso</t>
        </is>
      </c>
      <c r="N146" s="11" t="inlineStr">
        <is>
          <t>Cantidad</t>
        </is>
      </c>
      <c r="O146" s="11" t="inlineStr">
        <is>
          <t>Costo Unitario</t>
        </is>
      </c>
      <c r="P146" s="11" t="inlineStr">
        <is>
          <t>IMPORTE</t>
        </is>
      </c>
    </row>
    <row r="147">
      <c r="B147" s="13" t="inlineStr">
        <is>
          <t>3.4.1</t>
        </is>
      </c>
      <c r="C147" s="14" t="inlineStr">
        <is>
          <t>Diseñar prototipos UI en código Angular 21</t>
        </is>
      </c>
      <c r="D147" s="15" t="inlineStr">
        <is>
          <t>Estibb Anhuaman (Frontend)</t>
        </is>
      </c>
      <c r="E147" s="16" t="n">
        <v>5</v>
      </c>
      <c r="F147" s="17" t="n">
        <v>16</v>
      </c>
      <c r="G147" s="17">
        <f>E147*F147</f>
        <v/>
      </c>
      <c r="H147" s="15" t="inlineStr">
        <is>
          <t>Alquiler Laptop desarrollo Angular</t>
        </is>
      </c>
      <c r="I147" s="16" t="n">
        <v>1</v>
      </c>
      <c r="J147" s="17" t="n">
        <v>5</v>
      </c>
      <c r="K147" s="16" t="n">
        <v>5</v>
      </c>
      <c r="L147" s="17">
        <f>I147*J147*K147</f>
        <v/>
      </c>
      <c r="M147" s="15" t="inlineStr">
        <is>
          <t>Energía eléctrica e internet</t>
        </is>
      </c>
      <c r="N147" s="16" t="n">
        <v>1</v>
      </c>
      <c r="O147" s="17" t="n">
        <v>20</v>
      </c>
      <c r="P147" s="17">
        <f>N147*O147</f>
        <v/>
      </c>
    </row>
    <row r="148">
      <c r="B148" s="18" t="n"/>
      <c r="C148" s="19" t="inlineStr">
        <is>
          <t>SUB TOTAL ACTIVIDAD</t>
        </is>
      </c>
      <c r="D148" s="20">
        <f>SUM(G147:G147)</f>
        <v/>
      </c>
      <c r="E148" s="18" t="n"/>
      <c r="F148" s="18" t="n"/>
      <c r="G148" s="18" t="n"/>
      <c r="H148" s="20">
        <f>SUM(L147:L147)</f>
        <v/>
      </c>
      <c r="I148" s="18" t="n"/>
      <c r="J148" s="18" t="n"/>
      <c r="K148" s="18" t="n"/>
      <c r="L148" s="18" t="n"/>
      <c r="M148" s="20">
        <f>SUM(P147:P147)</f>
        <v/>
      </c>
      <c r="N148" s="18" t="n"/>
      <c r="O148" s="18" t="n"/>
      <c r="P148" s="18" t="n"/>
    </row>
    <row r="149">
      <c r="B149" s="21" t="n"/>
      <c r="C149" s="22" t="inlineStr">
        <is>
          <t>TOTAL ACTIVIDAD</t>
        </is>
      </c>
      <c r="D149" s="23">
        <f>D148+H148+M148</f>
        <v/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</row>
    <row r="150">
      <c r="B150" s="24" t="inlineStr">
        <is>
          <t>SUB TOTAL PAQUETE</t>
        </is>
      </c>
      <c r="C150" s="18" t="n"/>
      <c r="D150" s="25">
        <f>SUM(D148)</f>
        <v/>
      </c>
      <c r="E150" s="18" t="n"/>
      <c r="F150" s="18" t="n"/>
      <c r="G150" s="18" t="n"/>
      <c r="H150" s="25">
        <f>SUM(H148)</f>
        <v/>
      </c>
      <c r="I150" s="18" t="n"/>
      <c r="J150" s="18" t="n"/>
      <c r="K150" s="18" t="n"/>
      <c r="L150" s="18" t="n"/>
      <c r="M150" s="25">
        <f>SUM(M148)</f>
        <v/>
      </c>
      <c r="N150" s="18" t="n"/>
      <c r="O150" s="18" t="n"/>
      <c r="P150" s="18" t="n"/>
    </row>
    <row r="151">
      <c r="B151" s="26" t="inlineStr">
        <is>
          <t>TOTAL PAQUETE</t>
        </is>
      </c>
      <c r="C151" s="21" t="n"/>
      <c r="D151" s="27">
        <f>D150+H150+M150</f>
        <v/>
      </c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</row>
    <row r="153" ht="20" customHeight="1">
      <c r="B153" s="3" t="inlineStr">
        <is>
          <t>PAQUETE DE TRABAJO / ENTREGABLE</t>
        </is>
      </c>
      <c r="D153" s="4" t="inlineStr">
        <is>
          <t>EDT 3.5 – Matriz de Trazabilidad de Requisitos</t>
        </is>
      </c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B154" s="6" t="inlineStr">
        <is>
          <t>ACTIVIDAD</t>
        </is>
      </c>
      <c r="C154" s="5" t="n"/>
      <c r="D154" s="6" t="inlineStr">
        <is>
          <t>COSTOS</t>
        </is>
      </c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B155" s="6" t="inlineStr">
        <is>
          <t>CODIGO</t>
        </is>
      </c>
      <c r="C155" s="6" t="inlineStr">
        <is>
          <t>DESCRIPCION</t>
        </is>
      </c>
      <c r="D155" s="7" t="inlineStr">
        <is>
          <t>RECURSOS HUMANOS</t>
        </is>
      </c>
      <c r="E155" s="8" t="n"/>
      <c r="F155" s="8" t="n"/>
      <c r="G155" s="8" t="n"/>
      <c r="H155" s="9" t="inlineStr">
        <is>
          <t>MAQUINARIA/EQUIPOS/INFRAESTRUCTURA</t>
        </is>
      </c>
      <c r="I155" s="10" t="n"/>
      <c r="J155" s="10" t="n"/>
      <c r="K155" s="10" t="n"/>
      <c r="L155" s="10" t="n"/>
      <c r="M155" s="11" t="inlineStr">
        <is>
          <t>CONSUMIBLES/SERVICIOS</t>
        </is>
      </c>
      <c r="N155" s="12" t="n"/>
      <c r="O155" s="12" t="n"/>
      <c r="P155" s="12" t="n"/>
    </row>
    <row r="156">
      <c r="D156" s="7" t="inlineStr">
        <is>
          <t>Nombre del Recurso</t>
        </is>
      </c>
      <c r="E156" s="7" t="inlineStr">
        <is>
          <t>Numero de Horas</t>
        </is>
      </c>
      <c r="F156" s="7" t="inlineStr">
        <is>
          <t>Costo x Hora</t>
        </is>
      </c>
      <c r="G156" s="7" t="inlineStr">
        <is>
          <t>Costo Total</t>
        </is>
      </c>
      <c r="H156" s="9" t="inlineStr">
        <is>
          <t>Nombre del Recurso</t>
        </is>
      </c>
      <c r="I156" s="9" t="inlineStr">
        <is>
          <t>Cantidad</t>
        </is>
      </c>
      <c r="J156" s="9" t="inlineStr">
        <is>
          <t>Costo x día</t>
        </is>
      </c>
      <c r="K156" s="9" t="inlineStr">
        <is>
          <t>Nro. De días</t>
        </is>
      </c>
      <c r="L156" s="9" t="inlineStr">
        <is>
          <t>Total</t>
        </is>
      </c>
      <c r="M156" s="11" t="inlineStr">
        <is>
          <t>Nombre del Recurso</t>
        </is>
      </c>
      <c r="N156" s="11" t="inlineStr">
        <is>
          <t>Cantidad</t>
        </is>
      </c>
      <c r="O156" s="11" t="inlineStr">
        <is>
          <t>Costo Unitario</t>
        </is>
      </c>
      <c r="P156" s="11" t="inlineStr">
        <is>
          <t>IMPORTE</t>
        </is>
      </c>
    </row>
    <row r="157">
      <c r="B157" s="13" t="inlineStr">
        <is>
          <t>3.5.1</t>
        </is>
      </c>
      <c r="C157" s="14" t="inlineStr">
        <is>
          <t>Elaborar la matriz de trazabilidad</t>
        </is>
      </c>
      <c r="D157" s="15" t="inlineStr">
        <is>
          <t>Gerardo Plasencia (Líder)</t>
        </is>
      </c>
      <c r="E157" s="16" t="n">
        <v>4</v>
      </c>
      <c r="F157" s="17" t="n">
        <v>18</v>
      </c>
      <c r="G157" s="17">
        <f>E157*F157</f>
        <v/>
      </c>
      <c r="H157" s="15" t="inlineStr">
        <is>
          <t>Alquiler Laptop desarrollo</t>
        </is>
      </c>
      <c r="I157" s="16" t="n">
        <v>1</v>
      </c>
      <c r="J157" s="17" t="n">
        <v>5</v>
      </c>
      <c r="K157" s="16" t="n">
        <v>4</v>
      </c>
      <c r="L157" s="17">
        <f>I157*J157*K157</f>
        <v/>
      </c>
      <c r="M157" s="15" t="inlineStr">
        <is>
          <t>Energía eléctrica y material de trazabilidad</t>
        </is>
      </c>
      <c r="N157" s="16" t="n">
        <v>1</v>
      </c>
      <c r="O157" s="17" t="n">
        <v>18</v>
      </c>
      <c r="P157" s="17">
        <f>N157*O157</f>
        <v/>
      </c>
    </row>
    <row r="158">
      <c r="B158" s="18" t="n"/>
      <c r="C158" s="19" t="inlineStr">
        <is>
          <t>SUB TOTAL ACTIVIDAD</t>
        </is>
      </c>
      <c r="D158" s="20">
        <f>SUM(G157:G157)</f>
        <v/>
      </c>
      <c r="E158" s="18" t="n"/>
      <c r="F158" s="18" t="n"/>
      <c r="G158" s="18" t="n"/>
      <c r="H158" s="20">
        <f>SUM(L157:L157)</f>
        <v/>
      </c>
      <c r="I158" s="18" t="n"/>
      <c r="J158" s="18" t="n"/>
      <c r="K158" s="18" t="n"/>
      <c r="L158" s="18" t="n"/>
      <c r="M158" s="20">
        <f>SUM(P157:P157)</f>
        <v/>
      </c>
      <c r="N158" s="18" t="n"/>
      <c r="O158" s="18" t="n"/>
      <c r="P158" s="18" t="n"/>
    </row>
    <row r="159">
      <c r="B159" s="21" t="n"/>
      <c r="C159" s="22" t="inlineStr">
        <is>
          <t>TOTAL ACTIVIDAD</t>
        </is>
      </c>
      <c r="D159" s="23">
        <f>D158+H158+M158</f>
        <v/>
      </c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</row>
    <row r="160">
      <c r="B160" s="24" t="inlineStr">
        <is>
          <t>SUB TOTAL PAQUETE</t>
        </is>
      </c>
      <c r="C160" s="18" t="n"/>
      <c r="D160" s="25">
        <f>SUM(D158)</f>
        <v/>
      </c>
      <c r="E160" s="18" t="n"/>
      <c r="F160" s="18" t="n"/>
      <c r="G160" s="18" t="n"/>
      <c r="H160" s="25">
        <f>SUM(H158)</f>
        <v/>
      </c>
      <c r="I160" s="18" t="n"/>
      <c r="J160" s="18" t="n"/>
      <c r="K160" s="18" t="n"/>
      <c r="L160" s="18" t="n"/>
      <c r="M160" s="25">
        <f>SUM(M158)</f>
        <v/>
      </c>
      <c r="N160" s="18" t="n"/>
      <c r="O160" s="18" t="n"/>
      <c r="P160" s="18" t="n"/>
    </row>
    <row r="161">
      <c r="B161" s="26" t="inlineStr">
        <is>
          <t>TOTAL PAQUETE</t>
        </is>
      </c>
      <c r="C161" s="21" t="n"/>
      <c r="D161" s="27">
        <f>D160+H160+M160</f>
        <v/>
      </c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</row>
    <row r="163" ht="24" customHeight="1">
      <c r="B163" s="1" t="inlineStr">
        <is>
          <t>FASE 4.0: CONSTRUCCIÓN DEL PRODUCTO (CORE TRANSACCIONAL, BI E IA)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 ht="20" customHeight="1">
      <c r="B164" s="3" t="inlineStr">
        <is>
          <t>PAQUETE DE TRABAJO / ENTREGABLE</t>
        </is>
      </c>
      <c r="D164" s="4" t="inlineStr">
        <is>
          <t>EDT 4.1 – Módulo Transaccional Base y Catálogo</t>
        </is>
      </c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B165" s="6" t="inlineStr">
        <is>
          <t>ACTIVIDAD</t>
        </is>
      </c>
      <c r="C165" s="5" t="n"/>
      <c r="D165" s="6" t="inlineStr">
        <is>
          <t>COSTOS</t>
        </is>
      </c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B166" s="6" t="inlineStr">
        <is>
          <t>CODIGO</t>
        </is>
      </c>
      <c r="C166" s="6" t="inlineStr">
        <is>
          <t>DESCRIPCION</t>
        </is>
      </c>
      <c r="D166" s="7" t="inlineStr">
        <is>
          <t>RECURSOS HUMANOS</t>
        </is>
      </c>
      <c r="E166" s="8" t="n"/>
      <c r="F166" s="8" t="n"/>
      <c r="G166" s="8" t="n"/>
      <c r="H166" s="9" t="inlineStr">
        <is>
          <t>MAQUINARIA/EQUIPOS/INFRAESTRUCTURA</t>
        </is>
      </c>
      <c r="I166" s="10" t="n"/>
      <c r="J166" s="10" t="n"/>
      <c r="K166" s="10" t="n"/>
      <c r="L166" s="10" t="n"/>
      <c r="M166" s="11" t="inlineStr">
        <is>
          <t>CONSUMIBLES/SERVICIOS</t>
        </is>
      </c>
      <c r="N166" s="12" t="n"/>
      <c r="O166" s="12" t="n"/>
      <c r="P166" s="12" t="n"/>
    </row>
    <row r="167">
      <c r="D167" s="7" t="inlineStr">
        <is>
          <t>Nombre del Recurso</t>
        </is>
      </c>
      <c r="E167" s="7" t="inlineStr">
        <is>
          <t>Numero de Horas</t>
        </is>
      </c>
      <c r="F167" s="7" t="inlineStr">
        <is>
          <t>Costo x Hora</t>
        </is>
      </c>
      <c r="G167" s="7" t="inlineStr">
        <is>
          <t>Costo Total</t>
        </is>
      </c>
      <c r="H167" s="9" t="inlineStr">
        <is>
          <t>Nombre del Recurso</t>
        </is>
      </c>
      <c r="I167" s="9" t="inlineStr">
        <is>
          <t>Cantidad</t>
        </is>
      </c>
      <c r="J167" s="9" t="inlineStr">
        <is>
          <t>Costo x día</t>
        </is>
      </c>
      <c r="K167" s="9" t="inlineStr">
        <is>
          <t>Nro. De días</t>
        </is>
      </c>
      <c r="L167" s="9" t="inlineStr">
        <is>
          <t>Total</t>
        </is>
      </c>
      <c r="M167" s="11" t="inlineStr">
        <is>
          <t>Nombre del Recurso</t>
        </is>
      </c>
      <c r="N167" s="11" t="inlineStr">
        <is>
          <t>Cantidad</t>
        </is>
      </c>
      <c r="O167" s="11" t="inlineStr">
        <is>
          <t>Costo Unitario</t>
        </is>
      </c>
      <c r="P167" s="11" t="inlineStr">
        <is>
          <t>IMPORTE</t>
        </is>
      </c>
    </row>
    <row r="168">
      <c r="B168" s="13" t="inlineStr">
        <is>
          <t>4.1.1</t>
        </is>
      </c>
      <c r="C168" s="14" t="inlineStr">
        <is>
          <t>Construir módulo transaccional base y catálogo</t>
        </is>
      </c>
      <c r="D168" s="15" t="inlineStr">
        <is>
          <t>Estibb Anhuaman (Frontend)</t>
        </is>
      </c>
      <c r="E168" s="16" t="n">
        <v>5</v>
      </c>
      <c r="F168" s="17" t="n">
        <v>18</v>
      </c>
      <c r="G168" s="17">
        <f>E168*F168</f>
        <v/>
      </c>
      <c r="H168" s="15" t="inlineStr">
        <is>
          <t>Alquiler Laptops desarrollo full-stack</t>
        </is>
      </c>
      <c r="I168" s="16" t="n">
        <v>2</v>
      </c>
      <c r="J168" s="17" t="n">
        <v>5</v>
      </c>
      <c r="K168" s="16" t="n">
        <v>5</v>
      </c>
      <c r="L168" s="17">
        <f>I168*J168*K168</f>
        <v/>
      </c>
      <c r="M168" s="15" t="inlineStr">
        <is>
          <t>Energía eléctrica y conexión de red</t>
        </is>
      </c>
      <c r="N168" s="16" t="n">
        <v>1</v>
      </c>
      <c r="O168" s="17" t="n">
        <v>26</v>
      </c>
      <c r="P168" s="17">
        <f>N168*O168</f>
        <v/>
      </c>
    </row>
    <row r="169">
      <c r="B169" s="18" t="n"/>
      <c r="C169" s="18" t="n"/>
      <c r="D169" s="15" t="inlineStr">
        <is>
          <t>Diego Rodríguez (Backend)</t>
        </is>
      </c>
      <c r="E169" s="16" t="n">
        <v>5</v>
      </c>
      <c r="F169" s="17" t="n">
        <v>18</v>
      </c>
      <c r="G169" s="17">
        <f>E169*F169</f>
        <v/>
      </c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</row>
    <row r="170">
      <c r="B170" s="18" t="n"/>
      <c r="C170" s="19" t="inlineStr">
        <is>
          <t>SUB TOTAL ACTIVIDAD</t>
        </is>
      </c>
      <c r="D170" s="20">
        <f>SUM(G168:G169)</f>
        <v/>
      </c>
      <c r="E170" s="18" t="n"/>
      <c r="F170" s="18" t="n"/>
      <c r="G170" s="18" t="n"/>
      <c r="H170" s="20">
        <f>SUM(L168:L169)</f>
        <v/>
      </c>
      <c r="I170" s="18" t="n"/>
      <c r="J170" s="18" t="n"/>
      <c r="K170" s="18" t="n"/>
      <c r="L170" s="18" t="n"/>
      <c r="M170" s="20">
        <f>SUM(P168:P169)</f>
        <v/>
      </c>
      <c r="N170" s="18" t="n"/>
      <c r="O170" s="18" t="n"/>
      <c r="P170" s="18" t="n"/>
    </row>
    <row r="171">
      <c r="B171" s="21" t="n"/>
      <c r="C171" s="22" t="inlineStr">
        <is>
          <t>TOTAL ACTIVIDAD</t>
        </is>
      </c>
      <c r="D171" s="23">
        <f>D170+H170+M170</f>
        <v/>
      </c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</row>
    <row r="172">
      <c r="B172" s="13" t="inlineStr">
        <is>
          <t>4.1.2</t>
        </is>
      </c>
      <c r="C172" s="14" t="inlineStr">
        <is>
          <t>Priorizar el Product Backlog</t>
        </is>
      </c>
      <c r="D172" s="15" t="inlineStr">
        <is>
          <t>Gerardo Plasencia (Líder)</t>
        </is>
      </c>
      <c r="E172" s="16" t="n">
        <v>2</v>
      </c>
      <c r="F172" s="17" t="n">
        <v>16</v>
      </c>
      <c r="G172" s="17">
        <f>E172*F172</f>
        <v/>
      </c>
      <c r="H172" s="15" t="inlineStr">
        <is>
          <t>Alquiler Laptop gestión</t>
        </is>
      </c>
      <c r="I172" s="16" t="n">
        <v>1</v>
      </c>
      <c r="J172" s="17" t="n">
        <v>5</v>
      </c>
      <c r="K172" s="16" t="n">
        <v>2</v>
      </c>
      <c r="L172" s="17">
        <f>I172*J172*K172</f>
        <v/>
      </c>
      <c r="M172" s="15" t="inlineStr">
        <is>
          <t>Energía eléctrica e internet</t>
        </is>
      </c>
      <c r="N172" s="16" t="n">
        <v>1</v>
      </c>
      <c r="O172" s="17" t="n">
        <v>10</v>
      </c>
      <c r="P172" s="17">
        <f>N172*O172</f>
        <v/>
      </c>
    </row>
    <row r="173">
      <c r="B173" s="18" t="n"/>
      <c r="C173" s="19" t="inlineStr">
        <is>
          <t>SUB TOTAL ACTIVIDAD</t>
        </is>
      </c>
      <c r="D173" s="20">
        <f>SUM(G172:G172)</f>
        <v/>
      </c>
      <c r="E173" s="18" t="n"/>
      <c r="F173" s="18" t="n"/>
      <c r="G173" s="18" t="n"/>
      <c r="H173" s="20">
        <f>SUM(L172:L172)</f>
        <v/>
      </c>
      <c r="I173" s="18" t="n"/>
      <c r="J173" s="18" t="n"/>
      <c r="K173" s="18" t="n"/>
      <c r="L173" s="18" t="n"/>
      <c r="M173" s="20">
        <f>SUM(P172:P172)</f>
        <v/>
      </c>
      <c r="N173" s="18" t="n"/>
      <c r="O173" s="18" t="n"/>
      <c r="P173" s="18" t="n"/>
    </row>
    <row r="174">
      <c r="B174" s="21" t="n"/>
      <c r="C174" s="22" t="inlineStr">
        <is>
          <t>TOTAL ACTIVIDAD</t>
        </is>
      </c>
      <c r="D174" s="23">
        <f>D173+H173+M173</f>
        <v/>
      </c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</row>
    <row r="175">
      <c r="B175" s="13" t="inlineStr">
        <is>
          <t>4.1.3</t>
        </is>
      </c>
      <c r="C175" s="14" t="inlineStr">
        <is>
          <t>Definir el Definition of Done (DoD)</t>
        </is>
      </c>
      <c r="D175" s="15" t="inlineStr">
        <is>
          <t>Gerardo Plasencia (Líder)</t>
        </is>
      </c>
      <c r="E175" s="16" t="n">
        <v>2</v>
      </c>
      <c r="F175" s="17" t="n">
        <v>16</v>
      </c>
      <c r="G175" s="17">
        <f>E175*F175</f>
        <v/>
      </c>
      <c r="H175" s="15" t="inlineStr">
        <is>
          <t>Alquiler Laptop gestión</t>
        </is>
      </c>
      <c r="I175" s="16" t="n">
        <v>1</v>
      </c>
      <c r="J175" s="17" t="n">
        <v>5</v>
      </c>
      <c r="K175" s="16" t="n">
        <v>2</v>
      </c>
      <c r="L175" s="17">
        <f>I175*J175*K175</f>
        <v/>
      </c>
      <c r="M175" s="15" t="inlineStr">
        <is>
          <t>Energía eléctrica e internet</t>
        </is>
      </c>
      <c r="N175" s="16" t="n">
        <v>1</v>
      </c>
      <c r="O175" s="17" t="n">
        <v>10</v>
      </c>
      <c r="P175" s="17">
        <f>N175*O175</f>
        <v/>
      </c>
    </row>
    <row r="176">
      <c r="B176" s="18" t="n"/>
      <c r="C176" s="19" t="inlineStr">
        <is>
          <t>SUB TOTAL ACTIVIDAD</t>
        </is>
      </c>
      <c r="D176" s="20">
        <f>SUM(G175:G175)</f>
        <v/>
      </c>
      <c r="E176" s="18" t="n"/>
      <c r="F176" s="18" t="n"/>
      <c r="G176" s="18" t="n"/>
      <c r="H176" s="20">
        <f>SUM(L175:L175)</f>
        <v/>
      </c>
      <c r="I176" s="18" t="n"/>
      <c r="J176" s="18" t="n"/>
      <c r="K176" s="18" t="n"/>
      <c r="L176" s="18" t="n"/>
      <c r="M176" s="20">
        <f>SUM(P175:P175)</f>
        <v/>
      </c>
      <c r="N176" s="18" t="n"/>
      <c r="O176" s="18" t="n"/>
      <c r="P176" s="18" t="n"/>
    </row>
    <row r="177">
      <c r="B177" s="21" t="n"/>
      <c r="C177" s="22" t="inlineStr">
        <is>
          <t>TOTAL ACTIVIDAD</t>
        </is>
      </c>
      <c r="D177" s="23">
        <f>D176+H176+M176</f>
        <v/>
      </c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</row>
    <row r="178">
      <c r="B178" s="24" t="inlineStr">
        <is>
          <t>SUB TOTAL PAQUETE</t>
        </is>
      </c>
      <c r="C178" s="18" t="n"/>
      <c r="D178" s="25">
        <f>SUM(D170,D173,D176)</f>
        <v/>
      </c>
      <c r="E178" s="18" t="n"/>
      <c r="F178" s="18" t="n"/>
      <c r="G178" s="18" t="n"/>
      <c r="H178" s="25">
        <f>SUM(H170,H173,H176)</f>
        <v/>
      </c>
      <c r="I178" s="18" t="n"/>
      <c r="J178" s="18" t="n"/>
      <c r="K178" s="18" t="n"/>
      <c r="L178" s="18" t="n"/>
      <c r="M178" s="25">
        <f>SUM(M170,M173,M176)</f>
        <v/>
      </c>
      <c r="N178" s="18" t="n"/>
      <c r="O178" s="18" t="n"/>
      <c r="P178" s="18" t="n"/>
    </row>
    <row r="179">
      <c r="B179" s="26" t="inlineStr">
        <is>
          <t>TOTAL PAQUETE</t>
        </is>
      </c>
      <c r="C179" s="21" t="n"/>
      <c r="D179" s="27">
        <f>D178+H178+M178</f>
        <v/>
      </c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</row>
    <row r="181" ht="20" customHeight="1">
      <c r="B181" s="3" t="inlineStr">
        <is>
          <t>PAQUETE DE TRABAJO / ENTREGABLE</t>
        </is>
      </c>
      <c r="D181" s="4" t="inlineStr">
        <is>
          <t>EDT 4.2 – Cobros, Caja, BI y Control Operativo</t>
        </is>
      </c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B182" s="6" t="inlineStr">
        <is>
          <t>ACTIVIDAD</t>
        </is>
      </c>
      <c r="C182" s="5" t="n"/>
      <c r="D182" s="6" t="inlineStr">
        <is>
          <t>COSTOS</t>
        </is>
      </c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B183" s="6" t="inlineStr">
        <is>
          <t>CODIGO</t>
        </is>
      </c>
      <c r="C183" s="6" t="inlineStr">
        <is>
          <t>DESCRIPCION</t>
        </is>
      </c>
      <c r="D183" s="7" t="inlineStr">
        <is>
          <t>RECURSOS HUMANOS</t>
        </is>
      </c>
      <c r="E183" s="8" t="n"/>
      <c r="F183" s="8" t="n"/>
      <c r="G183" s="8" t="n"/>
      <c r="H183" s="9" t="inlineStr">
        <is>
          <t>MAQUINARIA/EQUIPOS/INFRAESTRUCTURA</t>
        </is>
      </c>
      <c r="I183" s="10" t="n"/>
      <c r="J183" s="10" t="n"/>
      <c r="K183" s="10" t="n"/>
      <c r="L183" s="10" t="n"/>
      <c r="M183" s="11" t="inlineStr">
        <is>
          <t>CONSUMIBLES/SERVICIOS</t>
        </is>
      </c>
      <c r="N183" s="12" t="n"/>
      <c r="O183" s="12" t="n"/>
      <c r="P183" s="12" t="n"/>
    </row>
    <row r="184">
      <c r="D184" s="7" t="inlineStr">
        <is>
          <t>Nombre del Recurso</t>
        </is>
      </c>
      <c r="E184" s="7" t="inlineStr">
        <is>
          <t>Numero de Horas</t>
        </is>
      </c>
      <c r="F184" s="7" t="inlineStr">
        <is>
          <t>Costo x Hora</t>
        </is>
      </c>
      <c r="G184" s="7" t="inlineStr">
        <is>
          <t>Costo Total</t>
        </is>
      </c>
      <c r="H184" s="9" t="inlineStr">
        <is>
          <t>Nombre del Recurso</t>
        </is>
      </c>
      <c r="I184" s="9" t="inlineStr">
        <is>
          <t>Cantidad</t>
        </is>
      </c>
      <c r="J184" s="9" t="inlineStr">
        <is>
          <t>Costo x día</t>
        </is>
      </c>
      <c r="K184" s="9" t="inlineStr">
        <is>
          <t>Nro. De días</t>
        </is>
      </c>
      <c r="L184" s="9" t="inlineStr">
        <is>
          <t>Total</t>
        </is>
      </c>
      <c r="M184" s="11" t="inlineStr">
        <is>
          <t>Nombre del Recurso</t>
        </is>
      </c>
      <c r="N184" s="11" t="inlineStr">
        <is>
          <t>Cantidad</t>
        </is>
      </c>
      <c r="O184" s="11" t="inlineStr">
        <is>
          <t>Costo Unitario</t>
        </is>
      </c>
      <c r="P184" s="11" t="inlineStr">
        <is>
          <t>IMPORTE</t>
        </is>
      </c>
    </row>
    <row r="185">
      <c r="B185" s="13" t="inlineStr">
        <is>
          <t>4.2.1</t>
        </is>
      </c>
      <c r="C185" s="14" t="inlineStr">
        <is>
          <t>Construir módulo de cobros, caja y BI</t>
        </is>
      </c>
      <c r="D185" s="15" t="inlineStr">
        <is>
          <t>Estibb Anhuaman (Frontend)</t>
        </is>
      </c>
      <c r="E185" s="16" t="n">
        <v>5</v>
      </c>
      <c r="F185" s="17" t="n">
        <v>18</v>
      </c>
      <c r="G185" s="17">
        <f>E185*F185</f>
        <v/>
      </c>
      <c r="H185" s="15" t="inlineStr">
        <is>
          <t>Alquiler Laptops desarrollo</t>
        </is>
      </c>
      <c r="I185" s="16" t="n">
        <v>2</v>
      </c>
      <c r="J185" s="17" t="n">
        <v>5</v>
      </c>
      <c r="K185" s="16" t="n">
        <v>6</v>
      </c>
      <c r="L185" s="17">
        <f>I185*J185*K185</f>
        <v/>
      </c>
      <c r="M185" s="15" t="inlineStr">
        <is>
          <t>Energía eléctrica estaciones de desarrollo</t>
        </is>
      </c>
      <c r="N185" s="16" t="n">
        <v>1</v>
      </c>
      <c r="O185" s="17" t="n">
        <v>24</v>
      </c>
      <c r="P185" s="17">
        <f>N185*O185</f>
        <v/>
      </c>
    </row>
    <row r="186">
      <c r="B186" s="18" t="n"/>
      <c r="C186" s="18" t="n"/>
      <c r="D186" s="15" t="inlineStr">
        <is>
          <t>Diego Rodríguez (Backend)</t>
        </is>
      </c>
      <c r="E186" s="16" t="n">
        <v>5</v>
      </c>
      <c r="F186" s="17" t="n">
        <v>18</v>
      </c>
      <c r="G186" s="17">
        <f>E186*F186</f>
        <v/>
      </c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</row>
    <row r="187">
      <c r="B187" s="18" t="n"/>
      <c r="C187" s="19" t="inlineStr">
        <is>
          <t>SUB TOTAL ACTIVIDAD</t>
        </is>
      </c>
      <c r="D187" s="20">
        <f>SUM(G185:G186)</f>
        <v/>
      </c>
      <c r="E187" s="18" t="n"/>
      <c r="F187" s="18" t="n"/>
      <c r="G187" s="18" t="n"/>
      <c r="H187" s="20">
        <f>SUM(L185:L186)</f>
        <v/>
      </c>
      <c r="I187" s="18" t="n"/>
      <c r="J187" s="18" t="n"/>
      <c r="K187" s="18" t="n"/>
      <c r="L187" s="18" t="n"/>
      <c r="M187" s="20">
        <f>SUM(P185:P186)</f>
        <v/>
      </c>
      <c r="N187" s="18" t="n"/>
      <c r="O187" s="18" t="n"/>
      <c r="P187" s="18" t="n"/>
    </row>
    <row r="188">
      <c r="B188" s="21" t="n"/>
      <c r="C188" s="22" t="inlineStr">
        <is>
          <t>TOTAL ACTIVIDAD</t>
        </is>
      </c>
      <c r="D188" s="23">
        <f>D187+H187+M187</f>
        <v/>
      </c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</row>
    <row r="189">
      <c r="B189" s="13" t="inlineStr">
        <is>
          <t>4.2.2</t>
        </is>
      </c>
      <c r="C189" s="14" t="inlineStr">
        <is>
          <t>Registrar los cambios y refinamientos</t>
        </is>
      </c>
      <c r="D189" s="15" t="inlineStr">
        <is>
          <t>Gerardo Plasencia (Líder)</t>
        </is>
      </c>
      <c r="E189" s="16" t="n">
        <v>2.5</v>
      </c>
      <c r="F189" s="17" t="n">
        <v>16</v>
      </c>
      <c r="G189" s="17">
        <f>E189*F189</f>
        <v/>
      </c>
      <c r="H189" s="15" t="inlineStr">
        <is>
          <t>Alquiler Laptop control</t>
        </is>
      </c>
      <c r="I189" s="16" t="n">
        <v>1</v>
      </c>
      <c r="J189" s="17" t="n">
        <v>5</v>
      </c>
      <c r="K189" s="16" t="n">
        <v>2</v>
      </c>
      <c r="L189" s="17">
        <f>I189*J189*K189</f>
        <v/>
      </c>
      <c r="M189" s="15" t="inlineStr">
        <is>
          <t>Energía eléctrica y conectividad</t>
        </is>
      </c>
      <c r="N189" s="16" t="n">
        <v>1</v>
      </c>
      <c r="O189" s="17" t="n">
        <v>10</v>
      </c>
      <c r="P189" s="17">
        <f>N189*O189</f>
        <v/>
      </c>
    </row>
    <row r="190">
      <c r="B190" s="18" t="n"/>
      <c r="C190" s="19" t="inlineStr">
        <is>
          <t>SUB TOTAL ACTIVIDAD</t>
        </is>
      </c>
      <c r="D190" s="20">
        <f>SUM(G189:G189)</f>
        <v/>
      </c>
      <c r="E190" s="18" t="n"/>
      <c r="F190" s="18" t="n"/>
      <c r="G190" s="18" t="n"/>
      <c r="H190" s="20">
        <f>SUM(L189:L189)</f>
        <v/>
      </c>
      <c r="I190" s="18" t="n"/>
      <c r="J190" s="18" t="n"/>
      <c r="K190" s="18" t="n"/>
      <c r="L190" s="18" t="n"/>
      <c r="M190" s="20">
        <f>SUM(P189:P189)</f>
        <v/>
      </c>
      <c r="N190" s="18" t="n"/>
      <c r="O190" s="18" t="n"/>
      <c r="P190" s="18" t="n"/>
    </row>
    <row r="191">
      <c r="B191" s="21" t="n"/>
      <c r="C191" s="22" t="inlineStr">
        <is>
          <t>TOTAL ACTIVIDAD</t>
        </is>
      </c>
      <c r="D191" s="23">
        <f>D190+H190+M190</f>
        <v/>
      </c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</row>
    <row r="192">
      <c r="B192" s="13" t="inlineStr">
        <is>
          <t>4.2.3</t>
        </is>
      </c>
      <c r="C192" s="14" t="inlineStr">
        <is>
          <t>Registrar los incidentes técnicos</t>
        </is>
      </c>
      <c r="D192" s="15" t="inlineStr">
        <is>
          <t>Gerardo Plasencia (Líder)</t>
        </is>
      </c>
      <c r="E192" s="16" t="n">
        <v>2.25</v>
      </c>
      <c r="F192" s="17" t="n">
        <v>16</v>
      </c>
      <c r="G192" s="17">
        <f>E192*F192</f>
        <v/>
      </c>
      <c r="H192" s="15" t="inlineStr">
        <is>
          <t>Alquiler Laptop control</t>
        </is>
      </c>
      <c r="I192" s="16" t="n">
        <v>1</v>
      </c>
      <c r="J192" s="17" t="n">
        <v>5</v>
      </c>
      <c r="K192" s="16" t="n">
        <v>2</v>
      </c>
      <c r="L192" s="17">
        <f>I192*J192*K192</f>
        <v/>
      </c>
      <c r="M192" s="15" t="inlineStr">
        <is>
          <t>Energía eléctrica y conectividad</t>
        </is>
      </c>
      <c r="N192" s="16" t="n">
        <v>1</v>
      </c>
      <c r="O192" s="17" t="n">
        <v>10</v>
      </c>
      <c r="P192" s="17">
        <f>N192*O192</f>
        <v/>
      </c>
    </row>
    <row r="193">
      <c r="B193" s="18" t="n"/>
      <c r="C193" s="19" t="inlineStr">
        <is>
          <t>SUB TOTAL ACTIVIDAD</t>
        </is>
      </c>
      <c r="D193" s="20">
        <f>SUM(G192:G192)</f>
        <v/>
      </c>
      <c r="E193" s="18" t="n"/>
      <c r="F193" s="18" t="n"/>
      <c r="G193" s="18" t="n"/>
      <c r="H193" s="20">
        <f>SUM(L192:L192)</f>
        <v/>
      </c>
      <c r="I193" s="18" t="n"/>
      <c r="J193" s="18" t="n"/>
      <c r="K193" s="18" t="n"/>
      <c r="L193" s="18" t="n"/>
      <c r="M193" s="20">
        <f>SUM(P192:P192)</f>
        <v/>
      </c>
      <c r="N193" s="18" t="n"/>
      <c r="O193" s="18" t="n"/>
      <c r="P193" s="18" t="n"/>
    </row>
    <row r="194">
      <c r="B194" s="21" t="n"/>
      <c r="C194" s="22" t="inlineStr">
        <is>
          <t>TOTAL ACTIVIDAD</t>
        </is>
      </c>
      <c r="D194" s="23">
        <f>D193+H193+M193</f>
        <v/>
      </c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</row>
    <row r="195">
      <c r="B195" s="24" t="inlineStr">
        <is>
          <t>SUB TOTAL PAQUETE</t>
        </is>
      </c>
      <c r="C195" s="18" t="n"/>
      <c r="D195" s="25">
        <f>SUM(D187,D190,D193)</f>
        <v/>
      </c>
      <c r="E195" s="18" t="n"/>
      <c r="F195" s="18" t="n"/>
      <c r="G195" s="18" t="n"/>
      <c r="H195" s="25">
        <f>SUM(H187,H190,H193)</f>
        <v/>
      </c>
      <c r="I195" s="18" t="n"/>
      <c r="J195" s="18" t="n"/>
      <c r="K195" s="18" t="n"/>
      <c r="L195" s="18" t="n"/>
      <c r="M195" s="25">
        <f>SUM(M187,M190,M193)</f>
        <v/>
      </c>
      <c r="N195" s="18" t="n"/>
      <c r="O195" s="18" t="n"/>
      <c r="P195" s="18" t="n"/>
    </row>
    <row r="196">
      <c r="B196" s="26" t="inlineStr">
        <is>
          <t>TOTAL PAQUETE</t>
        </is>
      </c>
      <c r="C196" s="21" t="n"/>
      <c r="D196" s="27">
        <f>D195+H195+M195</f>
        <v/>
      </c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</row>
    <row r="198" ht="20" customHeight="1">
      <c r="B198" s="3" t="inlineStr">
        <is>
          <t>PAQUETE DE TRABAJO / ENTREGABLE</t>
        </is>
      </c>
      <c r="D198" s="4" t="inlineStr">
        <is>
          <t>EDT 4.3 – Modelo Predictivo de Demanda e IA</t>
        </is>
      </c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B199" s="6" t="inlineStr">
        <is>
          <t>ACTIVIDAD</t>
        </is>
      </c>
      <c r="C199" s="5" t="n"/>
      <c r="D199" s="6" t="inlineStr">
        <is>
          <t>COSTOS</t>
        </is>
      </c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B200" s="6" t="inlineStr">
        <is>
          <t>CODIGO</t>
        </is>
      </c>
      <c r="C200" s="6" t="inlineStr">
        <is>
          <t>DESCRIPCION</t>
        </is>
      </c>
      <c r="D200" s="7" t="inlineStr">
        <is>
          <t>RECURSOS HUMANOS</t>
        </is>
      </c>
      <c r="E200" s="8" t="n"/>
      <c r="F200" s="8" t="n"/>
      <c r="G200" s="8" t="n"/>
      <c r="H200" s="9" t="inlineStr">
        <is>
          <t>MAQUINARIA/EQUIPOS/INFRAESTRUCTURA</t>
        </is>
      </c>
      <c r="I200" s="10" t="n"/>
      <c r="J200" s="10" t="n"/>
      <c r="K200" s="10" t="n"/>
      <c r="L200" s="10" t="n"/>
      <c r="M200" s="11" t="inlineStr">
        <is>
          <t>CONSUMIBLES/SERVICIOS</t>
        </is>
      </c>
      <c r="N200" s="12" t="n"/>
      <c r="O200" s="12" t="n"/>
      <c r="P200" s="12" t="n"/>
    </row>
    <row r="201">
      <c r="D201" s="7" t="inlineStr">
        <is>
          <t>Nombre del Recurso</t>
        </is>
      </c>
      <c r="E201" s="7" t="inlineStr">
        <is>
          <t>Numero de Horas</t>
        </is>
      </c>
      <c r="F201" s="7" t="inlineStr">
        <is>
          <t>Costo x Hora</t>
        </is>
      </c>
      <c r="G201" s="7" t="inlineStr">
        <is>
          <t>Costo Total</t>
        </is>
      </c>
      <c r="H201" s="9" t="inlineStr">
        <is>
          <t>Nombre del Recurso</t>
        </is>
      </c>
      <c r="I201" s="9" t="inlineStr">
        <is>
          <t>Cantidad</t>
        </is>
      </c>
      <c r="J201" s="9" t="inlineStr">
        <is>
          <t>Costo x día</t>
        </is>
      </c>
      <c r="K201" s="9" t="inlineStr">
        <is>
          <t>Nro. De días</t>
        </is>
      </c>
      <c r="L201" s="9" t="inlineStr">
        <is>
          <t>Total</t>
        </is>
      </c>
      <c r="M201" s="11" t="inlineStr">
        <is>
          <t>Nombre del Recurso</t>
        </is>
      </c>
      <c r="N201" s="11" t="inlineStr">
        <is>
          <t>Cantidad</t>
        </is>
      </c>
      <c r="O201" s="11" t="inlineStr">
        <is>
          <t>Costo Unitario</t>
        </is>
      </c>
      <c r="P201" s="11" t="inlineStr">
        <is>
          <t>IMPORTE</t>
        </is>
      </c>
    </row>
    <row r="202">
      <c r="B202" s="13" t="inlineStr">
        <is>
          <t>4.3.1</t>
        </is>
      </c>
      <c r="C202" s="14" t="inlineStr">
        <is>
          <t>Validar módulo predictivo de demanda (IA)</t>
        </is>
      </c>
      <c r="D202" s="15" t="inlineStr">
        <is>
          <t>Diego Rodríguez (Backend)</t>
        </is>
      </c>
      <c r="E202" s="16" t="n">
        <v>2.5</v>
      </c>
      <c r="F202" s="17" t="n">
        <v>16</v>
      </c>
      <c r="G202" s="17">
        <f>E202*F202</f>
        <v/>
      </c>
      <c r="H202" s="15" t="inlineStr">
        <is>
          <t>Alquiler Laptop IA / Datos</t>
        </is>
      </c>
      <c r="I202" s="16" t="n">
        <v>1</v>
      </c>
      <c r="J202" s="17" t="n">
        <v>5</v>
      </c>
      <c r="K202" s="16" t="n">
        <v>2</v>
      </c>
      <c r="L202" s="17">
        <f>I202*J202*K202</f>
        <v/>
      </c>
      <c r="M202" s="15" t="inlineStr">
        <is>
          <t>Energía eléctrica e internet</t>
        </is>
      </c>
      <c r="N202" s="16" t="n">
        <v>1</v>
      </c>
      <c r="O202" s="17" t="n">
        <v>10</v>
      </c>
      <c r="P202" s="17">
        <f>N202*O202</f>
        <v/>
      </c>
    </row>
    <row r="203">
      <c r="B203" s="18" t="n"/>
      <c r="C203" s="19" t="inlineStr">
        <is>
          <t>SUB TOTAL ACTIVIDAD</t>
        </is>
      </c>
      <c r="D203" s="20">
        <f>SUM(G202:G202)</f>
        <v/>
      </c>
      <c r="E203" s="18" t="n"/>
      <c r="F203" s="18" t="n"/>
      <c r="G203" s="18" t="n"/>
      <c r="H203" s="20">
        <f>SUM(L202:L202)</f>
        <v/>
      </c>
      <c r="I203" s="18" t="n"/>
      <c r="J203" s="18" t="n"/>
      <c r="K203" s="18" t="n"/>
      <c r="L203" s="18" t="n"/>
      <c r="M203" s="20">
        <f>SUM(P202:P202)</f>
        <v/>
      </c>
      <c r="N203" s="18" t="n"/>
      <c r="O203" s="18" t="n"/>
      <c r="P203" s="18" t="n"/>
    </row>
    <row r="204">
      <c r="B204" s="21" t="n"/>
      <c r="C204" s="22" t="inlineStr">
        <is>
          <t>TOTAL ACTIVIDAD</t>
        </is>
      </c>
      <c r="D204" s="23">
        <f>D203+H203+M203</f>
        <v/>
      </c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</row>
    <row r="205">
      <c r="B205" s="13" t="inlineStr">
        <is>
          <t>4.3.2</t>
        </is>
      </c>
      <c r="C205" s="14" t="inlineStr">
        <is>
          <t>Consolidar el sistema web integral</t>
        </is>
      </c>
      <c r="D205" s="15" t="inlineStr">
        <is>
          <t>Gerardo Plasencia (Líder)</t>
        </is>
      </c>
      <c r="E205" s="16" t="n">
        <v>2.5</v>
      </c>
      <c r="F205" s="17" t="n">
        <v>16</v>
      </c>
      <c r="G205" s="17">
        <f>E205*F205</f>
        <v/>
      </c>
      <c r="H205" s="15" t="inlineStr">
        <is>
          <t>Alquiler Laptop integración</t>
        </is>
      </c>
      <c r="I205" s="16" t="n">
        <v>1</v>
      </c>
      <c r="J205" s="17" t="n">
        <v>5</v>
      </c>
      <c r="K205" s="16" t="n">
        <v>2</v>
      </c>
      <c r="L205" s="17">
        <f>I205*J205*K205</f>
        <v/>
      </c>
      <c r="M205" s="15" t="inlineStr">
        <is>
          <t>Energía eléctrica e internet</t>
        </is>
      </c>
      <c r="N205" s="16" t="n">
        <v>1</v>
      </c>
      <c r="O205" s="17" t="n">
        <v>10</v>
      </c>
      <c r="P205" s="17">
        <f>N205*O205</f>
        <v/>
      </c>
    </row>
    <row r="206">
      <c r="B206" s="18" t="n"/>
      <c r="C206" s="19" t="inlineStr">
        <is>
          <t>SUB TOTAL ACTIVIDAD</t>
        </is>
      </c>
      <c r="D206" s="20">
        <f>SUM(G205:G205)</f>
        <v/>
      </c>
      <c r="E206" s="18" t="n"/>
      <c r="F206" s="18" t="n"/>
      <c r="G206" s="18" t="n"/>
      <c r="H206" s="20">
        <f>SUM(L205:L205)</f>
        <v/>
      </c>
      <c r="I206" s="18" t="n"/>
      <c r="J206" s="18" t="n"/>
      <c r="K206" s="18" t="n"/>
      <c r="L206" s="18" t="n"/>
      <c r="M206" s="20">
        <f>SUM(P205:P205)</f>
        <v/>
      </c>
      <c r="N206" s="18" t="n"/>
      <c r="O206" s="18" t="n"/>
      <c r="P206" s="18" t="n"/>
    </row>
    <row r="207">
      <c r="B207" s="21" t="n"/>
      <c r="C207" s="22" t="inlineStr">
        <is>
          <t>TOTAL ACTIVIDAD</t>
        </is>
      </c>
      <c r="D207" s="23">
        <f>D206+H206+M206</f>
        <v/>
      </c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</row>
    <row r="208">
      <c r="B208" s="24" t="inlineStr">
        <is>
          <t>SUB TOTAL PAQUETE</t>
        </is>
      </c>
      <c r="C208" s="18" t="n"/>
      <c r="D208" s="25">
        <f>SUM(D203,D206)</f>
        <v/>
      </c>
      <c r="E208" s="18" t="n"/>
      <c r="F208" s="18" t="n"/>
      <c r="G208" s="18" t="n"/>
      <c r="H208" s="25">
        <f>SUM(H203,H206)</f>
        <v/>
      </c>
      <c r="I208" s="18" t="n"/>
      <c r="J208" s="18" t="n"/>
      <c r="K208" s="18" t="n"/>
      <c r="L208" s="18" t="n"/>
      <c r="M208" s="25">
        <f>SUM(M203,M206)</f>
        <v/>
      </c>
      <c r="N208" s="18" t="n"/>
      <c r="O208" s="18" t="n"/>
      <c r="P208" s="18" t="n"/>
    </row>
    <row r="209">
      <c r="B209" s="26" t="inlineStr">
        <is>
          <t>TOTAL PAQUETE</t>
        </is>
      </c>
      <c r="C209" s="21" t="n"/>
      <c r="D209" s="27">
        <f>D208+H208+M208</f>
        <v/>
      </c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</row>
    <row r="211" ht="24" customHeight="1">
      <c r="B211" s="1" t="inlineStr">
        <is>
          <t>FASE 5.0: ASEGURAMIENTO DE CALIDAD (QA, PRUEBAS Y SQA)</t>
        </is>
      </c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 ht="20" customHeight="1">
      <c r="B212" s="3" t="inlineStr">
        <is>
          <t>PAQUETE DE TRABAJO / ENTREGABLE</t>
        </is>
      </c>
      <c r="D212" s="4" t="inlineStr">
        <is>
          <t>EDT 5.1 – Pruebas de Software Automatizadas</t>
        </is>
      </c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B213" s="6" t="inlineStr">
        <is>
          <t>ACTIVIDAD</t>
        </is>
      </c>
      <c r="C213" s="5" t="n"/>
      <c r="D213" s="6" t="inlineStr">
        <is>
          <t>COSTOS</t>
        </is>
      </c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B214" s="6" t="inlineStr">
        <is>
          <t>CODIGO</t>
        </is>
      </c>
      <c r="C214" s="6" t="inlineStr">
        <is>
          <t>DESCRIPCION</t>
        </is>
      </c>
      <c r="D214" s="7" t="inlineStr">
        <is>
          <t>RECURSOS HUMANOS</t>
        </is>
      </c>
      <c r="E214" s="8" t="n"/>
      <c r="F214" s="8" t="n"/>
      <c r="G214" s="8" t="n"/>
      <c r="H214" s="9" t="inlineStr">
        <is>
          <t>MAQUINARIA/EQUIPOS/INFRAESTRUCTURA</t>
        </is>
      </c>
      <c r="I214" s="10" t="n"/>
      <c r="J214" s="10" t="n"/>
      <c r="K214" s="10" t="n"/>
      <c r="L214" s="10" t="n"/>
      <c r="M214" s="11" t="inlineStr">
        <is>
          <t>CONSUMIBLES/SERVICIOS</t>
        </is>
      </c>
      <c r="N214" s="12" t="n"/>
      <c r="O214" s="12" t="n"/>
      <c r="P214" s="12" t="n"/>
    </row>
    <row r="215">
      <c r="D215" s="7" t="inlineStr">
        <is>
          <t>Nombre del Recurso</t>
        </is>
      </c>
      <c r="E215" s="7" t="inlineStr">
        <is>
          <t>Numero de Horas</t>
        </is>
      </c>
      <c r="F215" s="7" t="inlineStr">
        <is>
          <t>Costo x Hora</t>
        </is>
      </c>
      <c r="G215" s="7" t="inlineStr">
        <is>
          <t>Costo Total</t>
        </is>
      </c>
      <c r="H215" s="9" t="inlineStr">
        <is>
          <t>Nombre del Recurso</t>
        </is>
      </c>
      <c r="I215" s="9" t="inlineStr">
        <is>
          <t>Cantidad</t>
        </is>
      </c>
      <c r="J215" s="9" t="inlineStr">
        <is>
          <t>Costo x día</t>
        </is>
      </c>
      <c r="K215" s="9" t="inlineStr">
        <is>
          <t>Nro. De días</t>
        </is>
      </c>
      <c r="L215" s="9" t="inlineStr">
        <is>
          <t>Total</t>
        </is>
      </c>
      <c r="M215" s="11" t="inlineStr">
        <is>
          <t>Nombre del Recurso</t>
        </is>
      </c>
      <c r="N215" s="11" t="inlineStr">
        <is>
          <t>Cantidad</t>
        </is>
      </c>
      <c r="O215" s="11" t="inlineStr">
        <is>
          <t>Costo Unitario</t>
        </is>
      </c>
      <c r="P215" s="11" t="inlineStr">
        <is>
          <t>IMPORTE</t>
        </is>
      </c>
    </row>
    <row r="216">
      <c r="B216" s="13" t="inlineStr">
        <is>
          <t>5.1.1</t>
        </is>
      </c>
      <c r="C216" s="14" t="inlineStr">
        <is>
          <t>Ejecutar pruebas unitarias automatizadas</t>
        </is>
      </c>
      <c r="D216" s="15" t="inlineStr">
        <is>
          <t>Diego Rodríguez (Backend)</t>
        </is>
      </c>
      <c r="E216" s="16" t="n">
        <v>3</v>
      </c>
      <c r="F216" s="17" t="n">
        <v>16</v>
      </c>
      <c r="G216" s="17">
        <f>E216*F216</f>
        <v/>
      </c>
      <c r="H216" s="15" t="inlineStr">
        <is>
          <t>Alquiler Laptops pruebas automáticas</t>
        </is>
      </c>
      <c r="I216" s="16" t="n">
        <v>2</v>
      </c>
      <c r="J216" s="17" t="n">
        <v>5</v>
      </c>
      <c r="K216" s="16" t="n">
        <v>2</v>
      </c>
      <c r="L216" s="17">
        <f>I216*J216*K216</f>
        <v/>
      </c>
      <c r="M216" s="15" t="inlineStr">
        <is>
          <t>Energía eléctrica e internet</t>
        </is>
      </c>
      <c r="N216" s="16" t="n">
        <v>1</v>
      </c>
      <c r="O216" s="17" t="n">
        <v>14</v>
      </c>
      <c r="P216" s="17">
        <f>N216*O216</f>
        <v/>
      </c>
    </row>
    <row r="217">
      <c r="B217" s="18" t="n"/>
      <c r="C217" s="18" t="n"/>
      <c r="D217" s="15" t="inlineStr">
        <is>
          <t>Estibb Anhuaman (Frontend)</t>
        </is>
      </c>
      <c r="E217" s="16" t="n">
        <v>3</v>
      </c>
      <c r="F217" s="17" t="n">
        <v>16</v>
      </c>
      <c r="G217" s="17">
        <f>E217*F217</f>
        <v/>
      </c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</row>
    <row r="218">
      <c r="B218" s="18" t="n"/>
      <c r="C218" s="19" t="inlineStr">
        <is>
          <t>SUB TOTAL ACTIVIDAD</t>
        </is>
      </c>
      <c r="D218" s="20">
        <f>SUM(G216:G217)</f>
        <v/>
      </c>
      <c r="E218" s="18" t="n"/>
      <c r="F218" s="18" t="n"/>
      <c r="G218" s="18" t="n"/>
      <c r="H218" s="20">
        <f>SUM(L216:L217)</f>
        <v/>
      </c>
      <c r="I218" s="18" t="n"/>
      <c r="J218" s="18" t="n"/>
      <c r="K218" s="18" t="n"/>
      <c r="L218" s="18" t="n"/>
      <c r="M218" s="20">
        <f>SUM(P216:P217)</f>
        <v/>
      </c>
      <c r="N218" s="18" t="n"/>
      <c r="O218" s="18" t="n"/>
      <c r="P218" s="18" t="n"/>
    </row>
    <row r="219">
      <c r="B219" s="21" t="n"/>
      <c r="C219" s="22" t="inlineStr">
        <is>
          <t>TOTAL ACTIVIDAD</t>
        </is>
      </c>
      <c r="D219" s="23">
        <f>D218+H218+M218</f>
        <v/>
      </c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</row>
    <row r="220">
      <c r="B220" s="13" t="inlineStr">
        <is>
          <t>5.1.2</t>
        </is>
      </c>
      <c r="C220" s="14" t="inlineStr">
        <is>
          <t>Ejecutar pruebas de integración API</t>
        </is>
      </c>
      <c r="D220" s="15" t="inlineStr">
        <is>
          <t>Diego Rodríguez (Backend)</t>
        </is>
      </c>
      <c r="E220" s="16" t="n">
        <v>2.5</v>
      </c>
      <c r="F220" s="17" t="n">
        <v>16</v>
      </c>
      <c r="G220" s="17">
        <f>E220*F220</f>
        <v/>
      </c>
      <c r="H220" s="15" t="inlineStr">
        <is>
          <t>Alquiler Laptop pruebas API</t>
        </is>
      </c>
      <c r="I220" s="16" t="n">
        <v>1</v>
      </c>
      <c r="J220" s="17" t="n">
        <v>5</v>
      </c>
      <c r="K220" s="16" t="n">
        <v>2</v>
      </c>
      <c r="L220" s="17">
        <f>I220*J220*K220</f>
        <v/>
      </c>
      <c r="M220" s="15" t="inlineStr">
        <is>
          <t>Energía eléctrica e internet</t>
        </is>
      </c>
      <c r="N220" s="16" t="n">
        <v>1</v>
      </c>
      <c r="O220" s="17" t="n">
        <v>10</v>
      </c>
      <c r="P220" s="17">
        <f>N220*O220</f>
        <v/>
      </c>
    </row>
    <row r="221">
      <c r="B221" s="18" t="n"/>
      <c r="C221" s="19" t="inlineStr">
        <is>
          <t>SUB TOTAL ACTIVIDAD</t>
        </is>
      </c>
      <c r="D221" s="20">
        <f>SUM(G220:G220)</f>
        <v/>
      </c>
      <c r="E221" s="18" t="n"/>
      <c r="F221" s="18" t="n"/>
      <c r="G221" s="18" t="n"/>
      <c r="H221" s="20">
        <f>SUM(L220:L220)</f>
        <v/>
      </c>
      <c r="I221" s="18" t="n"/>
      <c r="J221" s="18" t="n"/>
      <c r="K221" s="18" t="n"/>
      <c r="L221" s="18" t="n"/>
      <c r="M221" s="20">
        <f>SUM(P220:P220)</f>
        <v/>
      </c>
      <c r="N221" s="18" t="n"/>
      <c r="O221" s="18" t="n"/>
      <c r="P221" s="18" t="n"/>
    </row>
    <row r="222">
      <c r="B222" s="21" t="n"/>
      <c r="C222" s="22" t="inlineStr">
        <is>
          <t>TOTAL ACTIVIDAD</t>
        </is>
      </c>
      <c r="D222" s="23">
        <f>D221+H221+M221</f>
        <v/>
      </c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</row>
    <row r="223">
      <c r="B223" s="13" t="inlineStr">
        <is>
          <t>5.1.3</t>
        </is>
      </c>
      <c r="C223" s="14" t="inlineStr">
        <is>
          <t>Ejecutar pruebas de sistema y flujo E2E</t>
        </is>
      </c>
      <c r="D223" s="15" t="inlineStr">
        <is>
          <t>Estibb Anhuaman (Frontend)</t>
        </is>
      </c>
      <c r="E223" s="16" t="n">
        <v>2.5</v>
      </c>
      <c r="F223" s="17" t="n">
        <v>16</v>
      </c>
      <c r="G223" s="17">
        <f>E223*F223</f>
        <v/>
      </c>
      <c r="H223" s="15" t="inlineStr">
        <is>
          <t>Alquiler Laptop pruebas E2E</t>
        </is>
      </c>
      <c r="I223" s="16" t="n">
        <v>1</v>
      </c>
      <c r="J223" s="17" t="n">
        <v>5</v>
      </c>
      <c r="K223" s="16" t="n">
        <v>2</v>
      </c>
      <c r="L223" s="17">
        <f>I223*J223*K223</f>
        <v/>
      </c>
      <c r="M223" s="15" t="inlineStr">
        <is>
          <t>Energía eléctrica e internet</t>
        </is>
      </c>
      <c r="N223" s="16" t="n">
        <v>1</v>
      </c>
      <c r="O223" s="17" t="n">
        <v>10</v>
      </c>
      <c r="P223" s="17">
        <f>N223*O223</f>
        <v/>
      </c>
    </row>
    <row r="224">
      <c r="B224" s="18" t="n"/>
      <c r="C224" s="19" t="inlineStr">
        <is>
          <t>SUB TOTAL ACTIVIDAD</t>
        </is>
      </c>
      <c r="D224" s="20">
        <f>SUM(G223:G223)</f>
        <v/>
      </c>
      <c r="E224" s="18" t="n"/>
      <c r="F224" s="18" t="n"/>
      <c r="G224" s="18" t="n"/>
      <c r="H224" s="20">
        <f>SUM(L223:L223)</f>
        <v/>
      </c>
      <c r="I224" s="18" t="n"/>
      <c r="J224" s="18" t="n"/>
      <c r="K224" s="18" t="n"/>
      <c r="L224" s="18" t="n"/>
      <c r="M224" s="20">
        <f>SUM(P223:P223)</f>
        <v/>
      </c>
      <c r="N224" s="18" t="n"/>
      <c r="O224" s="18" t="n"/>
      <c r="P224" s="18" t="n"/>
    </row>
    <row r="225">
      <c r="B225" s="21" t="n"/>
      <c r="C225" s="22" t="inlineStr">
        <is>
          <t>TOTAL ACTIVIDAD</t>
        </is>
      </c>
      <c r="D225" s="23">
        <f>D224+H224+M224</f>
        <v/>
      </c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</row>
    <row r="226">
      <c r="B226" s="13" t="inlineStr">
        <is>
          <t>5.1.4</t>
        </is>
      </c>
      <c r="C226" s="14" t="inlineStr">
        <is>
          <t>Ejecutar pruebas de aceptación con usuario</t>
        </is>
      </c>
      <c r="D226" s="15" t="inlineStr">
        <is>
          <t>Gerardo Plasencia (Líder)</t>
        </is>
      </c>
      <c r="E226" s="16" t="n">
        <v>2.5</v>
      </c>
      <c r="F226" s="17" t="n">
        <v>16</v>
      </c>
      <c r="G226" s="17">
        <f>E226*F226</f>
        <v/>
      </c>
      <c r="H226" s="15" t="inlineStr">
        <is>
          <t>Alquiler Laptop UAT</t>
        </is>
      </c>
      <c r="I226" s="16" t="n">
        <v>1</v>
      </c>
      <c r="J226" s="17" t="n">
        <v>5</v>
      </c>
      <c r="K226" s="16" t="n">
        <v>2</v>
      </c>
      <c r="L226" s="17">
        <f>I226*J226*K226</f>
        <v/>
      </c>
      <c r="M226" s="15" t="inlineStr">
        <is>
          <t>Energía eléctrica y movilidad taller</t>
        </is>
      </c>
      <c r="N226" s="16" t="n">
        <v>1</v>
      </c>
      <c r="O226" s="17" t="n">
        <v>10</v>
      </c>
      <c r="P226" s="17">
        <f>N226*O226</f>
        <v/>
      </c>
    </row>
    <row r="227">
      <c r="B227" s="18" t="n"/>
      <c r="C227" s="19" t="inlineStr">
        <is>
          <t>SUB TOTAL ACTIVIDAD</t>
        </is>
      </c>
      <c r="D227" s="20">
        <f>SUM(G226:G226)</f>
        <v/>
      </c>
      <c r="E227" s="18" t="n"/>
      <c r="F227" s="18" t="n"/>
      <c r="G227" s="18" t="n"/>
      <c r="H227" s="20">
        <f>SUM(L226:L226)</f>
        <v/>
      </c>
      <c r="I227" s="18" t="n"/>
      <c r="J227" s="18" t="n"/>
      <c r="K227" s="18" t="n"/>
      <c r="L227" s="18" t="n"/>
      <c r="M227" s="20">
        <f>SUM(P226:P226)</f>
        <v/>
      </c>
      <c r="N227" s="18" t="n"/>
      <c r="O227" s="18" t="n"/>
      <c r="P227" s="18" t="n"/>
    </row>
    <row r="228">
      <c r="B228" s="21" t="n"/>
      <c r="C228" s="22" t="inlineStr">
        <is>
          <t>TOTAL ACTIVIDAD</t>
        </is>
      </c>
      <c r="D228" s="23">
        <f>D227+H227+M227</f>
        <v/>
      </c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</row>
    <row r="229">
      <c r="B229" s="13" t="inlineStr">
        <is>
          <t>5.1.5</t>
        </is>
      </c>
      <c r="C229" s="14" t="inlineStr">
        <is>
          <t>Verificar cobertura de requisitos ISO 25010</t>
        </is>
      </c>
      <c r="D229" s="15" t="inlineStr">
        <is>
          <t>Diego Rodríguez (Backend)</t>
        </is>
      </c>
      <c r="E229" s="16" t="n">
        <v>2</v>
      </c>
      <c r="F229" s="17" t="n">
        <v>16</v>
      </c>
      <c r="G229" s="17">
        <f>E229*F229</f>
        <v/>
      </c>
      <c r="H229" s="15" t="inlineStr">
        <is>
          <t>Alquiler Laptop calidad</t>
        </is>
      </c>
      <c r="I229" s="16" t="n">
        <v>1</v>
      </c>
      <c r="J229" s="17" t="n">
        <v>5</v>
      </c>
      <c r="K229" s="16" t="n">
        <v>2</v>
      </c>
      <c r="L229" s="17">
        <f>I229*J229*K229</f>
        <v/>
      </c>
      <c r="M229" s="15" t="inlineStr">
        <is>
          <t>Energía eléctrica e internet</t>
        </is>
      </c>
      <c r="N229" s="16" t="n">
        <v>1</v>
      </c>
      <c r="O229" s="17" t="n">
        <v>10</v>
      </c>
      <c r="P229" s="17">
        <f>N229*O229</f>
        <v/>
      </c>
    </row>
    <row r="230">
      <c r="B230" s="18" t="n"/>
      <c r="C230" s="19" t="inlineStr">
        <is>
          <t>SUB TOTAL ACTIVIDAD</t>
        </is>
      </c>
      <c r="D230" s="20">
        <f>SUM(G229:G229)</f>
        <v/>
      </c>
      <c r="E230" s="18" t="n"/>
      <c r="F230" s="18" t="n"/>
      <c r="G230" s="18" t="n"/>
      <c r="H230" s="20">
        <f>SUM(L229:L229)</f>
        <v/>
      </c>
      <c r="I230" s="18" t="n"/>
      <c r="J230" s="18" t="n"/>
      <c r="K230" s="18" t="n"/>
      <c r="L230" s="18" t="n"/>
      <c r="M230" s="20">
        <f>SUM(P229:P229)</f>
        <v/>
      </c>
      <c r="N230" s="18" t="n"/>
      <c r="O230" s="18" t="n"/>
      <c r="P230" s="18" t="n"/>
    </row>
    <row r="231">
      <c r="B231" s="21" t="n"/>
      <c r="C231" s="22" t="inlineStr">
        <is>
          <t>TOTAL ACTIVIDAD</t>
        </is>
      </c>
      <c r="D231" s="23">
        <f>D230+H230+M230</f>
        <v/>
      </c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</row>
    <row r="232">
      <c r="B232" s="13" t="inlineStr">
        <is>
          <t>5.1.6</t>
        </is>
      </c>
      <c r="C232" s="14" t="inlineStr">
        <is>
          <t>Registrar y mitigar defectos encontrados</t>
        </is>
      </c>
      <c r="D232" s="15" t="inlineStr">
        <is>
          <t>Estibb Anhuaman (Frontend)</t>
        </is>
      </c>
      <c r="E232" s="16" t="n">
        <v>2</v>
      </c>
      <c r="F232" s="17" t="n">
        <v>16</v>
      </c>
      <c r="G232" s="17">
        <f>E232*F232</f>
        <v/>
      </c>
      <c r="H232" s="15" t="inlineStr">
        <is>
          <t>Alquiler Laptop QA</t>
        </is>
      </c>
      <c r="I232" s="16" t="n">
        <v>1</v>
      </c>
      <c r="J232" s="17" t="n">
        <v>5</v>
      </c>
      <c r="K232" s="16" t="n">
        <v>2</v>
      </c>
      <c r="L232" s="17">
        <f>I232*J232*K232</f>
        <v/>
      </c>
      <c r="M232" s="15" t="inlineStr">
        <is>
          <t>Energía eléctrica e internet</t>
        </is>
      </c>
      <c r="N232" s="16" t="n">
        <v>1</v>
      </c>
      <c r="O232" s="17" t="n">
        <v>10</v>
      </c>
      <c r="P232" s="17">
        <f>N232*O232</f>
        <v/>
      </c>
    </row>
    <row r="233">
      <c r="B233" s="18" t="n"/>
      <c r="C233" s="19" t="inlineStr">
        <is>
          <t>SUB TOTAL ACTIVIDAD</t>
        </is>
      </c>
      <c r="D233" s="20">
        <f>SUM(G232:G232)</f>
        <v/>
      </c>
      <c r="E233" s="18" t="n"/>
      <c r="F233" s="18" t="n"/>
      <c r="G233" s="18" t="n"/>
      <c r="H233" s="20">
        <f>SUM(L232:L232)</f>
        <v/>
      </c>
      <c r="I233" s="18" t="n"/>
      <c r="J233" s="18" t="n"/>
      <c r="K233" s="18" t="n"/>
      <c r="L233" s="18" t="n"/>
      <c r="M233" s="20">
        <f>SUM(P232:P232)</f>
        <v/>
      </c>
      <c r="N233" s="18" t="n"/>
      <c r="O233" s="18" t="n"/>
      <c r="P233" s="18" t="n"/>
    </row>
    <row r="234">
      <c r="B234" s="21" t="n"/>
      <c r="C234" s="22" t="inlineStr">
        <is>
          <t>TOTAL ACTIVIDAD</t>
        </is>
      </c>
      <c r="D234" s="23">
        <f>D233+H233+M233</f>
        <v/>
      </c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</row>
    <row r="235">
      <c r="B235" s="24" t="inlineStr">
        <is>
          <t>SUB TOTAL PAQUETE</t>
        </is>
      </c>
      <c r="C235" s="18" t="n"/>
      <c r="D235" s="25">
        <f>SUM(D218,D221,D224,D227,D230,D233)</f>
        <v/>
      </c>
      <c r="E235" s="18" t="n"/>
      <c r="F235" s="18" t="n"/>
      <c r="G235" s="18" t="n"/>
      <c r="H235" s="25">
        <f>SUM(H218,H221,H224,H227,H230,H233)</f>
        <v/>
      </c>
      <c r="I235" s="18" t="n"/>
      <c r="J235" s="18" t="n"/>
      <c r="K235" s="18" t="n"/>
      <c r="L235" s="18" t="n"/>
      <c r="M235" s="25">
        <f>SUM(M218,M221,M224,M227,M230,M233)</f>
        <v/>
      </c>
      <c r="N235" s="18" t="n"/>
      <c r="O235" s="18" t="n"/>
      <c r="P235" s="18" t="n"/>
    </row>
    <row r="236">
      <c r="B236" s="26" t="inlineStr">
        <is>
          <t>TOTAL PAQUETE</t>
        </is>
      </c>
      <c r="C236" s="21" t="n"/>
      <c r="D236" s="27">
        <f>D235+H235+M235</f>
        <v/>
      </c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</row>
    <row r="238" ht="20" customHeight="1">
      <c r="B238" s="3" t="inlineStr">
        <is>
          <t>PAQUETE DE TRABAJO / ENTREGABLE</t>
        </is>
      </c>
      <c r="D238" s="4" t="inlineStr">
        <is>
          <t>EDT 5.2 – Aseguramiento de Calidad SQA y CI/CD</t>
        </is>
      </c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B239" s="6" t="inlineStr">
        <is>
          <t>ACTIVIDAD</t>
        </is>
      </c>
      <c r="C239" s="5" t="n"/>
      <c r="D239" s="6" t="inlineStr">
        <is>
          <t>COSTOS</t>
        </is>
      </c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B240" s="6" t="inlineStr">
        <is>
          <t>CODIGO</t>
        </is>
      </c>
      <c r="C240" s="6" t="inlineStr">
        <is>
          <t>DESCRIPCION</t>
        </is>
      </c>
      <c r="D240" s="7" t="inlineStr">
        <is>
          <t>RECURSOS HUMANOS</t>
        </is>
      </c>
      <c r="E240" s="8" t="n"/>
      <c r="F240" s="8" t="n"/>
      <c r="G240" s="8" t="n"/>
      <c r="H240" s="9" t="inlineStr">
        <is>
          <t>MAQUINARIA/EQUIPOS/INFRAESTRUCTURA</t>
        </is>
      </c>
      <c r="I240" s="10" t="n"/>
      <c r="J240" s="10" t="n"/>
      <c r="K240" s="10" t="n"/>
      <c r="L240" s="10" t="n"/>
      <c r="M240" s="11" t="inlineStr">
        <is>
          <t>CONSUMIBLES/SERVICIOS</t>
        </is>
      </c>
      <c r="N240" s="12" t="n"/>
      <c r="O240" s="12" t="n"/>
      <c r="P240" s="12" t="n"/>
    </row>
    <row r="241">
      <c r="D241" s="7" t="inlineStr">
        <is>
          <t>Nombre del Recurso</t>
        </is>
      </c>
      <c r="E241" s="7" t="inlineStr">
        <is>
          <t>Numero de Horas</t>
        </is>
      </c>
      <c r="F241" s="7" t="inlineStr">
        <is>
          <t>Costo x Hora</t>
        </is>
      </c>
      <c r="G241" s="7" t="inlineStr">
        <is>
          <t>Costo Total</t>
        </is>
      </c>
      <c r="H241" s="9" t="inlineStr">
        <is>
          <t>Nombre del Recurso</t>
        </is>
      </c>
      <c r="I241" s="9" t="inlineStr">
        <is>
          <t>Cantidad</t>
        </is>
      </c>
      <c r="J241" s="9" t="inlineStr">
        <is>
          <t>Costo x día</t>
        </is>
      </c>
      <c r="K241" s="9" t="inlineStr">
        <is>
          <t>Nro. De días</t>
        </is>
      </c>
      <c r="L241" s="9" t="inlineStr">
        <is>
          <t>Total</t>
        </is>
      </c>
      <c r="M241" s="11" t="inlineStr">
        <is>
          <t>Nombre del Recurso</t>
        </is>
      </c>
      <c r="N241" s="11" t="inlineStr">
        <is>
          <t>Cantidad</t>
        </is>
      </c>
      <c r="O241" s="11" t="inlineStr">
        <is>
          <t>Costo Unitario</t>
        </is>
      </c>
      <c r="P241" s="11" t="inlineStr">
        <is>
          <t>IMPORTE</t>
        </is>
      </c>
    </row>
    <row r="242">
      <c r="B242" s="13" t="inlineStr">
        <is>
          <t>5.2.1</t>
        </is>
      </c>
      <c r="C242" s="14" t="inlineStr">
        <is>
          <t>Ejecutar la revisión formal SQA</t>
        </is>
      </c>
      <c r="D242" s="15" t="inlineStr">
        <is>
          <t>Gerardo Plasencia (Líder)</t>
        </is>
      </c>
      <c r="E242" s="16" t="n">
        <v>2.5</v>
      </c>
      <c r="F242" s="17" t="n">
        <v>16</v>
      </c>
      <c r="G242" s="17">
        <f>E242*F242</f>
        <v/>
      </c>
      <c r="H242" s="15" t="inlineStr">
        <is>
          <t>Alquiler Laptop auditoría SQA</t>
        </is>
      </c>
      <c r="I242" s="16" t="n">
        <v>1</v>
      </c>
      <c r="J242" s="17" t="n">
        <v>5</v>
      </c>
      <c r="K242" s="16" t="n">
        <v>2</v>
      </c>
      <c r="L242" s="17">
        <f>I242*J242*K242</f>
        <v/>
      </c>
      <c r="M242" s="15" t="inlineStr">
        <is>
          <t>Energía eléctrica y conectividad</t>
        </is>
      </c>
      <c r="N242" s="16" t="n">
        <v>1</v>
      </c>
      <c r="O242" s="17" t="n">
        <v>10</v>
      </c>
      <c r="P242" s="17">
        <f>N242*O242</f>
        <v/>
      </c>
    </row>
    <row r="243">
      <c r="B243" s="18" t="n"/>
      <c r="C243" s="19" t="inlineStr">
        <is>
          <t>SUB TOTAL ACTIVIDAD</t>
        </is>
      </c>
      <c r="D243" s="20">
        <f>SUM(G242:G242)</f>
        <v/>
      </c>
      <c r="E243" s="18" t="n"/>
      <c r="F243" s="18" t="n"/>
      <c r="G243" s="18" t="n"/>
      <c r="H243" s="20">
        <f>SUM(L242:L242)</f>
        <v/>
      </c>
      <c r="I243" s="18" t="n"/>
      <c r="J243" s="18" t="n"/>
      <c r="K243" s="18" t="n"/>
      <c r="L243" s="18" t="n"/>
      <c r="M243" s="20">
        <f>SUM(P242:P242)</f>
        <v/>
      </c>
      <c r="N243" s="18" t="n"/>
      <c r="O243" s="18" t="n"/>
      <c r="P243" s="18" t="n"/>
    </row>
    <row r="244">
      <c r="B244" s="21" t="n"/>
      <c r="C244" s="22" t="inlineStr">
        <is>
          <t>TOTAL ACTIVIDAD</t>
        </is>
      </c>
      <c r="D244" s="23">
        <f>D243+H243+M243</f>
        <v/>
      </c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</row>
    <row r="245">
      <c r="B245" s="13" t="inlineStr">
        <is>
          <t>5.2.2</t>
        </is>
      </c>
      <c r="C245" s="14" t="inlineStr">
        <is>
          <t>Controlar versiones y Pipeline CI/CD</t>
        </is>
      </c>
      <c r="D245" s="15" t="inlineStr">
        <is>
          <t>Gerardo Plasencia (Líder)</t>
        </is>
      </c>
      <c r="E245" s="16" t="n">
        <v>2.5</v>
      </c>
      <c r="F245" s="17" t="n">
        <v>16</v>
      </c>
      <c r="G245" s="17">
        <f>E245*F245</f>
        <v/>
      </c>
      <c r="H245" s="15" t="inlineStr">
        <is>
          <t>Alquiler Laptop DevOps</t>
        </is>
      </c>
      <c r="I245" s="16" t="n">
        <v>1</v>
      </c>
      <c r="J245" s="17" t="n">
        <v>5</v>
      </c>
      <c r="K245" s="16" t="n">
        <v>2</v>
      </c>
      <c r="L245" s="17">
        <f>I245*J245*K245</f>
        <v/>
      </c>
      <c r="M245" s="15" t="inlineStr">
        <is>
          <t>Energía eléctrica e internet GitHub</t>
        </is>
      </c>
      <c r="N245" s="16" t="n">
        <v>1</v>
      </c>
      <c r="O245" s="17" t="n">
        <v>10</v>
      </c>
      <c r="P245" s="17">
        <f>N245*O245</f>
        <v/>
      </c>
    </row>
    <row r="246">
      <c r="B246" s="18" t="n"/>
      <c r="C246" s="19" t="inlineStr">
        <is>
          <t>SUB TOTAL ACTIVIDAD</t>
        </is>
      </c>
      <c r="D246" s="20">
        <f>SUM(G245:G245)</f>
        <v/>
      </c>
      <c r="E246" s="18" t="n"/>
      <c r="F246" s="18" t="n"/>
      <c r="G246" s="18" t="n"/>
      <c r="H246" s="20">
        <f>SUM(L245:L245)</f>
        <v/>
      </c>
      <c r="I246" s="18" t="n"/>
      <c r="J246" s="18" t="n"/>
      <c r="K246" s="18" t="n"/>
      <c r="L246" s="18" t="n"/>
      <c r="M246" s="20">
        <f>SUM(P245:P245)</f>
        <v/>
      </c>
      <c r="N246" s="18" t="n"/>
      <c r="O246" s="18" t="n"/>
      <c r="P246" s="18" t="n"/>
    </row>
    <row r="247">
      <c r="B247" s="21" t="n"/>
      <c r="C247" s="22" t="inlineStr">
        <is>
          <t>TOTAL ACTIVIDAD</t>
        </is>
      </c>
      <c r="D247" s="23">
        <f>D246+H246+M246</f>
        <v/>
      </c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</row>
    <row r="248">
      <c r="B248" s="24" t="inlineStr">
        <is>
          <t>SUB TOTAL PAQUETE</t>
        </is>
      </c>
      <c r="C248" s="18" t="n"/>
      <c r="D248" s="25">
        <f>SUM(D243,D246)</f>
        <v/>
      </c>
      <c r="E248" s="18" t="n"/>
      <c r="F248" s="18" t="n"/>
      <c r="G248" s="18" t="n"/>
      <c r="H248" s="25">
        <f>SUM(H243,H246)</f>
        <v/>
      </c>
      <c r="I248" s="18" t="n"/>
      <c r="J248" s="18" t="n"/>
      <c r="K248" s="18" t="n"/>
      <c r="L248" s="18" t="n"/>
      <c r="M248" s="25">
        <f>SUM(M243,M246)</f>
        <v/>
      </c>
      <c r="N248" s="18" t="n"/>
      <c r="O248" s="18" t="n"/>
      <c r="P248" s="18" t="n"/>
    </row>
    <row r="249">
      <c r="B249" s="26" t="inlineStr">
        <is>
          <t>TOTAL PAQUETE</t>
        </is>
      </c>
      <c r="C249" s="21" t="n"/>
      <c r="D249" s="27">
        <f>D248+H248+M248</f>
        <v/>
      </c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</row>
    <row r="251" ht="20" customHeight="1">
      <c r="B251" s="3" t="inlineStr">
        <is>
          <t>PAQUETE DE TRABAJO / ENTREGABLE</t>
        </is>
      </c>
      <c r="D251" s="4" t="inlineStr">
        <is>
          <t>EDT 5.3 – Evaluación Operativa en Planta (UAT)</t>
        </is>
      </c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B252" s="6" t="inlineStr">
        <is>
          <t>ACTIVIDAD</t>
        </is>
      </c>
      <c r="C252" s="5" t="n"/>
      <c r="D252" s="6" t="inlineStr">
        <is>
          <t>COSTOS</t>
        </is>
      </c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B253" s="6" t="inlineStr">
        <is>
          <t>CODIGO</t>
        </is>
      </c>
      <c r="C253" s="6" t="inlineStr">
        <is>
          <t>DESCRIPCION</t>
        </is>
      </c>
      <c r="D253" s="7" t="inlineStr">
        <is>
          <t>RECURSOS HUMANOS</t>
        </is>
      </c>
      <c r="E253" s="8" t="n"/>
      <c r="F253" s="8" t="n"/>
      <c r="G253" s="8" t="n"/>
      <c r="H253" s="9" t="inlineStr">
        <is>
          <t>MAQUINARIA/EQUIPOS/INFRAESTRUCTURA</t>
        </is>
      </c>
      <c r="I253" s="10" t="n"/>
      <c r="J253" s="10" t="n"/>
      <c r="K253" s="10" t="n"/>
      <c r="L253" s="10" t="n"/>
      <c r="M253" s="11" t="inlineStr">
        <is>
          <t>CONSUMIBLES/SERVICIOS</t>
        </is>
      </c>
      <c r="N253" s="12" t="n"/>
      <c r="O253" s="12" t="n"/>
      <c r="P253" s="12" t="n"/>
    </row>
    <row r="254">
      <c r="D254" s="7" t="inlineStr">
        <is>
          <t>Nombre del Recurso</t>
        </is>
      </c>
      <c r="E254" s="7" t="inlineStr">
        <is>
          <t>Numero de Horas</t>
        </is>
      </c>
      <c r="F254" s="7" t="inlineStr">
        <is>
          <t>Costo x Hora</t>
        </is>
      </c>
      <c r="G254" s="7" t="inlineStr">
        <is>
          <t>Costo Total</t>
        </is>
      </c>
      <c r="H254" s="9" t="inlineStr">
        <is>
          <t>Nombre del Recurso</t>
        </is>
      </c>
      <c r="I254" s="9" t="inlineStr">
        <is>
          <t>Cantidad</t>
        </is>
      </c>
      <c r="J254" s="9" t="inlineStr">
        <is>
          <t>Costo x día</t>
        </is>
      </c>
      <c r="K254" s="9" t="inlineStr">
        <is>
          <t>Nro. De días</t>
        </is>
      </c>
      <c r="L254" s="9" t="inlineStr">
        <is>
          <t>Total</t>
        </is>
      </c>
      <c r="M254" s="11" t="inlineStr">
        <is>
          <t>Nombre del Recurso</t>
        </is>
      </c>
      <c r="N254" s="11" t="inlineStr">
        <is>
          <t>Cantidad</t>
        </is>
      </c>
      <c r="O254" s="11" t="inlineStr">
        <is>
          <t>Costo Unitario</t>
        </is>
      </c>
      <c r="P254" s="11" t="inlineStr">
        <is>
          <t>IMPORTE</t>
        </is>
      </c>
    </row>
    <row r="255">
      <c r="B255" s="13" t="inlineStr">
        <is>
          <t>5.3.1</t>
        </is>
      </c>
      <c r="C255" s="14" t="inlineStr">
        <is>
          <t>Aplicar encuesta de satisfacción al cliente</t>
        </is>
      </c>
      <c r="D255" s="15" t="inlineStr">
        <is>
          <t>Gerardo Plasencia (Líder)</t>
        </is>
      </c>
      <c r="E255" s="16" t="n">
        <v>2.5</v>
      </c>
      <c r="F255" s="17" t="n">
        <v>16</v>
      </c>
      <c r="G255" s="17">
        <f>E255*F255</f>
        <v/>
      </c>
      <c r="H255" s="15" t="inlineStr">
        <is>
          <t>Alquiler Laptop encuestas</t>
        </is>
      </c>
      <c r="I255" s="16" t="n">
        <v>1</v>
      </c>
      <c r="J255" s="17" t="n">
        <v>5</v>
      </c>
      <c r="K255" s="16" t="n">
        <v>2</v>
      </c>
      <c r="L255" s="17">
        <f>I255*J255*K255</f>
        <v/>
      </c>
      <c r="M255" s="15" t="inlineStr">
        <is>
          <t>Material de encuesta impreso y energía</t>
        </is>
      </c>
      <c r="N255" s="16" t="n">
        <v>1</v>
      </c>
      <c r="O255" s="17" t="n">
        <v>10</v>
      </c>
      <c r="P255" s="17">
        <f>N255*O255</f>
        <v/>
      </c>
    </row>
    <row r="256">
      <c r="B256" s="18" t="n"/>
      <c r="C256" s="19" t="inlineStr">
        <is>
          <t>SUB TOTAL ACTIVIDAD</t>
        </is>
      </c>
      <c r="D256" s="20">
        <f>SUM(G255:G255)</f>
        <v/>
      </c>
      <c r="E256" s="18" t="n"/>
      <c r="F256" s="18" t="n"/>
      <c r="G256" s="18" t="n"/>
      <c r="H256" s="20">
        <f>SUM(L255:L255)</f>
        <v/>
      </c>
      <c r="I256" s="18" t="n"/>
      <c r="J256" s="18" t="n"/>
      <c r="K256" s="18" t="n"/>
      <c r="L256" s="18" t="n"/>
      <c r="M256" s="20">
        <f>SUM(P255:P255)</f>
        <v/>
      </c>
      <c r="N256" s="18" t="n"/>
      <c r="O256" s="18" t="n"/>
      <c r="P256" s="18" t="n"/>
    </row>
    <row r="257">
      <c r="B257" s="21" t="n"/>
      <c r="C257" s="22" t="inlineStr">
        <is>
          <t>TOTAL ACTIVIDAD</t>
        </is>
      </c>
      <c r="D257" s="23">
        <f>D256+H256+M256</f>
        <v/>
      </c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</row>
    <row r="258">
      <c r="B258" s="24" t="inlineStr">
        <is>
          <t>SUB TOTAL PAQUETE</t>
        </is>
      </c>
      <c r="C258" s="18" t="n"/>
      <c r="D258" s="25">
        <f>SUM(D256)</f>
        <v/>
      </c>
      <c r="E258" s="18" t="n"/>
      <c r="F258" s="18" t="n"/>
      <c r="G258" s="18" t="n"/>
      <c r="H258" s="25">
        <f>SUM(H256)</f>
        <v/>
      </c>
      <c r="I258" s="18" t="n"/>
      <c r="J258" s="18" t="n"/>
      <c r="K258" s="18" t="n"/>
      <c r="L258" s="18" t="n"/>
      <c r="M258" s="25">
        <f>SUM(M256)</f>
        <v/>
      </c>
      <c r="N258" s="18" t="n"/>
      <c r="O258" s="18" t="n"/>
      <c r="P258" s="18" t="n"/>
    </row>
    <row r="259">
      <c r="B259" s="26" t="inlineStr">
        <is>
          <t>TOTAL PAQUETE</t>
        </is>
      </c>
      <c r="C259" s="21" t="n"/>
      <c r="D259" s="27">
        <f>D258+H258+M258</f>
        <v/>
      </c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</row>
    <row r="261" ht="24" customHeight="1">
      <c r="B261" s="1" t="inlineStr">
        <is>
          <t>FASE 6.0: DESPLIEGUE EN PRODUCCIÓN Y CIERRE OPERATIVO EN PLANTA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 ht="20" customHeight="1">
      <c r="B262" s="3" t="inlineStr">
        <is>
          <t>PAQUETE DE TRABAJO / ENTREGABLE</t>
        </is>
      </c>
      <c r="D262" s="4" t="inlineStr">
        <is>
          <t>EDT 6.1 – Despliegue en Servidor VPS y Entrega</t>
        </is>
      </c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B263" s="6" t="inlineStr">
        <is>
          <t>ACTIVIDAD</t>
        </is>
      </c>
      <c r="C263" s="5" t="n"/>
      <c r="D263" s="6" t="inlineStr">
        <is>
          <t>COSTOS</t>
        </is>
      </c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B264" s="6" t="inlineStr">
        <is>
          <t>CODIGO</t>
        </is>
      </c>
      <c r="C264" s="6" t="inlineStr">
        <is>
          <t>DESCRIPCION</t>
        </is>
      </c>
      <c r="D264" s="7" t="inlineStr">
        <is>
          <t>RECURSOS HUMANOS</t>
        </is>
      </c>
      <c r="E264" s="8" t="n"/>
      <c r="F264" s="8" t="n"/>
      <c r="G264" s="8" t="n"/>
      <c r="H264" s="9" t="inlineStr">
        <is>
          <t>MAQUINARIA/EQUIPOS/INFRAESTRUCTURA</t>
        </is>
      </c>
      <c r="I264" s="10" t="n"/>
      <c r="J264" s="10" t="n"/>
      <c r="K264" s="10" t="n"/>
      <c r="L264" s="10" t="n"/>
      <c r="M264" s="11" t="inlineStr">
        <is>
          <t>CONSUMIBLES/SERVICIOS</t>
        </is>
      </c>
      <c r="N264" s="12" t="n"/>
      <c r="O264" s="12" t="n"/>
      <c r="P264" s="12" t="n"/>
    </row>
    <row r="265">
      <c r="D265" s="7" t="inlineStr">
        <is>
          <t>Nombre del Recurso</t>
        </is>
      </c>
      <c r="E265" s="7" t="inlineStr">
        <is>
          <t>Numero de Horas</t>
        </is>
      </c>
      <c r="F265" s="7" t="inlineStr">
        <is>
          <t>Costo x Hora</t>
        </is>
      </c>
      <c r="G265" s="7" t="inlineStr">
        <is>
          <t>Costo Total</t>
        </is>
      </c>
      <c r="H265" s="9" t="inlineStr">
        <is>
          <t>Nombre del Recurso</t>
        </is>
      </c>
      <c r="I265" s="9" t="inlineStr">
        <is>
          <t>Cantidad</t>
        </is>
      </c>
      <c r="J265" s="9" t="inlineStr">
        <is>
          <t>Costo x día</t>
        </is>
      </c>
      <c r="K265" s="9" t="inlineStr">
        <is>
          <t>Nro. De días</t>
        </is>
      </c>
      <c r="L265" s="9" t="inlineStr">
        <is>
          <t>Total</t>
        </is>
      </c>
      <c r="M265" s="11" t="inlineStr">
        <is>
          <t>Nombre del Recurso</t>
        </is>
      </c>
      <c r="N265" s="11" t="inlineStr">
        <is>
          <t>Cantidad</t>
        </is>
      </c>
      <c r="O265" s="11" t="inlineStr">
        <is>
          <t>Costo Unitario</t>
        </is>
      </c>
      <c r="P265" s="11" t="inlineStr">
        <is>
          <t>IMPORTE</t>
        </is>
      </c>
    </row>
    <row r="266">
      <c r="B266" s="13" t="inlineStr">
        <is>
          <t>6.1.1</t>
        </is>
      </c>
      <c r="C266" s="14" t="inlineStr">
        <is>
          <t>Desplegar en producción VPS particular propio</t>
        </is>
      </c>
      <c r="D266" s="15" t="inlineStr">
        <is>
          <t>Gerardo Plasencia (Líder)</t>
        </is>
      </c>
      <c r="E266" s="16" t="n">
        <v>6</v>
      </c>
      <c r="F266" s="17" t="n">
        <v>22</v>
      </c>
      <c r="G266" s="17">
        <f>E266*F266</f>
        <v/>
      </c>
      <c r="H266" s="15" t="inlineStr">
        <is>
          <t>Alquiler Laptop configuración</t>
        </is>
      </c>
      <c r="I266" s="16" t="n">
        <v>1</v>
      </c>
      <c r="J266" s="17" t="n">
        <v>5</v>
      </c>
      <c r="K266" s="16" t="n">
        <v>5</v>
      </c>
      <c r="L266" s="17">
        <f>I266*J266*K266</f>
        <v/>
      </c>
      <c r="M266" s="15" t="inlineStr">
        <is>
          <t>Dominio propio imprenta.darknezz.dev prorrateado</t>
        </is>
      </c>
      <c r="N266" s="16" t="n">
        <v>1</v>
      </c>
      <c r="O266" s="17" t="n">
        <v>15</v>
      </c>
      <c r="P266" s="17">
        <f>N266*O266</f>
        <v/>
      </c>
    </row>
    <row r="267">
      <c r="B267" s="18" t="n"/>
      <c r="C267" s="18" t="n"/>
      <c r="D267" s="15" t="inlineStr">
        <is>
          <t>Diego Rodríguez (Backend)</t>
        </is>
      </c>
      <c r="E267" s="16" t="n">
        <v>4</v>
      </c>
      <c r="F267" s="17" t="n">
        <v>18</v>
      </c>
      <c r="G267" s="17">
        <f>E267*F267</f>
        <v/>
      </c>
      <c r="H267" s="15" t="inlineStr">
        <is>
          <t>Servidor VPS Hostinger 1 mes prorrateado</t>
        </is>
      </c>
      <c r="I267" s="16" t="n">
        <v>1</v>
      </c>
      <c r="J267" s="17" t="n">
        <v>30</v>
      </c>
      <c r="K267" s="16" t="n">
        <v>1</v>
      </c>
      <c r="L267" s="17">
        <f>I267*J267*K267</f>
        <v/>
      </c>
      <c r="M267" s="15" t="inlineStr">
        <is>
          <t>Certificado SSL y conectividad fibra</t>
        </is>
      </c>
      <c r="N267" s="16" t="n">
        <v>1</v>
      </c>
      <c r="O267" s="17" t="n">
        <v>15</v>
      </c>
      <c r="P267" s="17">
        <f>N267*O267</f>
        <v/>
      </c>
    </row>
    <row r="268">
      <c r="B268" s="18" t="n"/>
      <c r="C268" s="19" t="inlineStr">
        <is>
          <t>SUB TOTAL ACTIVIDAD</t>
        </is>
      </c>
      <c r="D268" s="20">
        <f>SUM(G266:G267)</f>
        <v/>
      </c>
      <c r="E268" s="18" t="n"/>
      <c r="F268" s="18" t="n"/>
      <c r="G268" s="18" t="n"/>
      <c r="H268" s="20">
        <f>SUM(L266:L267)</f>
        <v/>
      </c>
      <c r="I268" s="18" t="n"/>
      <c r="J268" s="18" t="n"/>
      <c r="K268" s="18" t="n"/>
      <c r="L268" s="18" t="n"/>
      <c r="M268" s="20">
        <f>SUM(P266:P267)</f>
        <v/>
      </c>
      <c r="N268" s="18" t="n"/>
      <c r="O268" s="18" t="n"/>
      <c r="P268" s="18" t="n"/>
    </row>
    <row r="269">
      <c r="B269" s="21" t="n"/>
      <c r="C269" s="22" t="inlineStr">
        <is>
          <t>TOTAL ACTIVIDAD</t>
        </is>
      </c>
      <c r="D269" s="23">
        <f>D268+H268+M268</f>
        <v/>
      </c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</row>
    <row r="270">
      <c r="B270" s="13" t="inlineStr">
        <is>
          <t>6.1.2</t>
        </is>
      </c>
      <c r="C270" s="14" t="inlineStr">
        <is>
          <t>Entregar el software en planta y validar PCs</t>
        </is>
      </c>
      <c r="D270" s="15" t="inlineStr">
        <is>
          <t>Gerardo Plasencia (Líder)</t>
        </is>
      </c>
      <c r="E270" s="16" t="n">
        <v>4</v>
      </c>
      <c r="F270" s="17" t="n">
        <v>16</v>
      </c>
      <c r="G270" s="17">
        <f>E270*F270</f>
        <v/>
      </c>
      <c r="H270" s="15" t="inlineStr">
        <is>
          <t>Movilidad traslado de equipo a taller</t>
        </is>
      </c>
      <c r="I270" s="16" t="n">
        <v>1</v>
      </c>
      <c r="J270" s="17" t="n">
        <v>15</v>
      </c>
      <c r="K270" s="16" t="n">
        <v>1</v>
      </c>
      <c r="L270" s="17">
        <f>I270*J270*K270</f>
        <v/>
      </c>
      <c r="M270" s="15" t="inlineStr">
        <is>
          <t>Acta física de entrega y refrigerio operativo</t>
        </is>
      </c>
      <c r="N270" s="16" t="n">
        <v>1</v>
      </c>
      <c r="O270" s="17" t="n">
        <v>12</v>
      </c>
      <c r="P270" s="17">
        <f>N270*O270</f>
        <v/>
      </c>
    </row>
    <row r="271">
      <c r="B271" s="18" t="n"/>
      <c r="C271" s="19" t="inlineStr">
        <is>
          <t>SUB TOTAL ACTIVIDAD</t>
        </is>
      </c>
      <c r="D271" s="20">
        <f>SUM(G270:G270)</f>
        <v/>
      </c>
      <c r="E271" s="18" t="n"/>
      <c r="F271" s="18" t="n"/>
      <c r="G271" s="18" t="n"/>
      <c r="H271" s="20">
        <f>SUM(L270:L270)</f>
        <v/>
      </c>
      <c r="I271" s="18" t="n"/>
      <c r="J271" s="18" t="n"/>
      <c r="K271" s="18" t="n"/>
      <c r="L271" s="18" t="n"/>
      <c r="M271" s="20">
        <f>SUM(P270:P270)</f>
        <v/>
      </c>
      <c r="N271" s="18" t="n"/>
      <c r="O271" s="18" t="n"/>
      <c r="P271" s="18" t="n"/>
    </row>
    <row r="272">
      <c r="B272" s="21" t="n"/>
      <c r="C272" s="22" t="inlineStr">
        <is>
          <t>TOTAL ACTIVIDAD</t>
        </is>
      </c>
      <c r="D272" s="23">
        <f>D271+H271+M271</f>
        <v/>
      </c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</row>
    <row r="273">
      <c r="B273" s="24" t="inlineStr">
        <is>
          <t>SUB TOTAL PAQUETE</t>
        </is>
      </c>
      <c r="C273" s="18" t="n"/>
      <c r="D273" s="25">
        <f>SUM(D268,D271)</f>
        <v/>
      </c>
      <c r="E273" s="18" t="n"/>
      <c r="F273" s="18" t="n"/>
      <c r="G273" s="18" t="n"/>
      <c r="H273" s="25">
        <f>SUM(H268,H271)</f>
        <v/>
      </c>
      <c r="I273" s="18" t="n"/>
      <c r="J273" s="18" t="n"/>
      <c r="K273" s="18" t="n"/>
      <c r="L273" s="18" t="n"/>
      <c r="M273" s="25">
        <f>SUM(M268,M271)</f>
        <v/>
      </c>
      <c r="N273" s="18" t="n"/>
      <c r="O273" s="18" t="n"/>
      <c r="P273" s="18" t="n"/>
    </row>
    <row r="274">
      <c r="B274" s="26" t="inlineStr">
        <is>
          <t>TOTAL PAQUETE</t>
        </is>
      </c>
      <c r="C274" s="21" t="n"/>
      <c r="D274" s="27">
        <f>D273+H273+M273</f>
        <v/>
      </c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</row>
    <row r="276" ht="20" customHeight="1">
      <c r="B276" s="3" t="inlineStr">
        <is>
          <t>PAQUETE DE TRABAJO / ENTREGABLE</t>
        </is>
      </c>
      <c r="D276" s="4" t="inlineStr">
        <is>
          <t>EDT 6.2 – Capacitación Operativa y Manuales</t>
        </is>
      </c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B277" s="6" t="inlineStr">
        <is>
          <t>ACTIVIDAD</t>
        </is>
      </c>
      <c r="C277" s="5" t="n"/>
      <c r="D277" s="6" t="inlineStr">
        <is>
          <t>COSTOS</t>
        </is>
      </c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B278" s="6" t="inlineStr">
        <is>
          <t>CODIGO</t>
        </is>
      </c>
      <c r="C278" s="6" t="inlineStr">
        <is>
          <t>DESCRIPCION</t>
        </is>
      </c>
      <c r="D278" s="7" t="inlineStr">
        <is>
          <t>RECURSOS HUMANOS</t>
        </is>
      </c>
      <c r="E278" s="8" t="n"/>
      <c r="F278" s="8" t="n"/>
      <c r="G278" s="8" t="n"/>
      <c r="H278" s="9" t="inlineStr">
        <is>
          <t>MAQUINARIA/EQUIPOS/INFRAESTRUCTURA</t>
        </is>
      </c>
      <c r="I278" s="10" t="n"/>
      <c r="J278" s="10" t="n"/>
      <c r="K278" s="10" t="n"/>
      <c r="L278" s="10" t="n"/>
      <c r="M278" s="11" t="inlineStr">
        <is>
          <t>CONSUMIBLES/SERVICIOS</t>
        </is>
      </c>
      <c r="N278" s="12" t="n"/>
      <c r="O278" s="12" t="n"/>
      <c r="P278" s="12" t="n"/>
    </row>
    <row r="279">
      <c r="D279" s="7" t="inlineStr">
        <is>
          <t>Nombre del Recurso</t>
        </is>
      </c>
      <c r="E279" s="7" t="inlineStr">
        <is>
          <t>Numero de Horas</t>
        </is>
      </c>
      <c r="F279" s="7" t="inlineStr">
        <is>
          <t>Costo x Hora</t>
        </is>
      </c>
      <c r="G279" s="7" t="inlineStr">
        <is>
          <t>Costo Total</t>
        </is>
      </c>
      <c r="H279" s="9" t="inlineStr">
        <is>
          <t>Nombre del Recurso</t>
        </is>
      </c>
      <c r="I279" s="9" t="inlineStr">
        <is>
          <t>Cantidad</t>
        </is>
      </c>
      <c r="J279" s="9" t="inlineStr">
        <is>
          <t>Costo x día</t>
        </is>
      </c>
      <c r="K279" s="9" t="inlineStr">
        <is>
          <t>Nro. De días</t>
        </is>
      </c>
      <c r="L279" s="9" t="inlineStr">
        <is>
          <t>Total</t>
        </is>
      </c>
      <c r="M279" s="11" t="inlineStr">
        <is>
          <t>Nombre del Recurso</t>
        </is>
      </c>
      <c r="N279" s="11" t="inlineStr">
        <is>
          <t>Cantidad</t>
        </is>
      </c>
      <c r="O279" s="11" t="inlineStr">
        <is>
          <t>Costo Unitario</t>
        </is>
      </c>
      <c r="P279" s="11" t="inlineStr">
        <is>
          <t>IMPORTE</t>
        </is>
      </c>
    </row>
    <row r="280">
      <c r="B280" s="13" t="inlineStr">
        <is>
          <t>6.2.1</t>
        </is>
      </c>
      <c r="C280" s="14" t="inlineStr">
        <is>
          <t>Elaborar el manual de usuario ilustrado</t>
        </is>
      </c>
      <c r="D280" s="15" t="inlineStr">
        <is>
          <t>Estibb Anhuaman (Frontend)</t>
        </is>
      </c>
      <c r="E280" s="16" t="n">
        <v>4</v>
      </c>
      <c r="F280" s="17" t="n">
        <v>17</v>
      </c>
      <c r="G280" s="17">
        <f>E280*F280</f>
        <v/>
      </c>
      <c r="H280" s="15" t="inlineStr">
        <is>
          <t>Alquiler Laptop redacción técnica</t>
        </is>
      </c>
      <c r="I280" s="16" t="n">
        <v>1</v>
      </c>
      <c r="J280" s="17" t="n">
        <v>5</v>
      </c>
      <c r="K280" s="16" t="n">
        <v>4</v>
      </c>
      <c r="L280" s="17">
        <f>I280*J280*K280</f>
        <v/>
      </c>
      <c r="M280" s="15" t="inlineStr">
        <is>
          <t>Impresión a color de manual para mostrador</t>
        </is>
      </c>
      <c r="N280" s="16" t="n">
        <v>1</v>
      </c>
      <c r="O280" s="17" t="n">
        <v>15</v>
      </c>
      <c r="P280" s="17">
        <f>N280*O280</f>
        <v/>
      </c>
    </row>
    <row r="281">
      <c r="B281" s="18" t="n"/>
      <c r="C281" s="19" t="inlineStr">
        <is>
          <t>SUB TOTAL ACTIVIDAD</t>
        </is>
      </c>
      <c r="D281" s="20">
        <f>SUM(G280:G280)</f>
        <v/>
      </c>
      <c r="E281" s="18" t="n"/>
      <c r="F281" s="18" t="n"/>
      <c r="G281" s="18" t="n"/>
      <c r="H281" s="20">
        <f>SUM(L280:L280)</f>
        <v/>
      </c>
      <c r="I281" s="18" t="n"/>
      <c r="J281" s="18" t="n"/>
      <c r="K281" s="18" t="n"/>
      <c r="L281" s="18" t="n"/>
      <c r="M281" s="20">
        <f>SUM(P280:P280)</f>
        <v/>
      </c>
      <c r="N281" s="18" t="n"/>
      <c r="O281" s="18" t="n"/>
      <c r="P281" s="18" t="n"/>
    </row>
    <row r="282">
      <c r="B282" s="21" t="n"/>
      <c r="C282" s="22" t="inlineStr">
        <is>
          <t>TOTAL ACTIVIDAD</t>
        </is>
      </c>
      <c r="D282" s="23">
        <f>D281+H281+M281</f>
        <v/>
      </c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</row>
    <row r="283">
      <c r="B283" s="13" t="inlineStr">
        <is>
          <t>6.2.2</t>
        </is>
      </c>
      <c r="C283" s="14" t="inlineStr">
        <is>
          <t>Elaborar guía técnica de despliegue</t>
        </is>
      </c>
      <c r="D283" s="15" t="inlineStr">
        <is>
          <t>Diego Rodríguez (Backend)</t>
        </is>
      </c>
      <c r="E283" s="16" t="n">
        <v>4</v>
      </c>
      <c r="F283" s="17" t="n">
        <v>17</v>
      </c>
      <c r="G283" s="17">
        <f>E283*F283</f>
        <v/>
      </c>
      <c r="H283" s="15" t="inlineStr">
        <is>
          <t>Alquiler Laptop documentación</t>
        </is>
      </c>
      <c r="I283" s="16" t="n">
        <v>1</v>
      </c>
      <c r="J283" s="17" t="n">
        <v>5</v>
      </c>
      <c r="K283" s="16" t="n">
        <v>4</v>
      </c>
      <c r="L283" s="17">
        <f>I283*J283*K283</f>
        <v/>
      </c>
      <c r="M283" s="15" t="inlineStr">
        <is>
          <t>Energía eléctrica y respaldo en la nube</t>
        </is>
      </c>
      <c r="N283" s="16" t="n">
        <v>1</v>
      </c>
      <c r="O283" s="17" t="n">
        <v>14</v>
      </c>
      <c r="P283" s="17">
        <f>N283*O283</f>
        <v/>
      </c>
    </row>
    <row r="284">
      <c r="B284" s="18" t="n"/>
      <c r="C284" s="19" t="inlineStr">
        <is>
          <t>SUB TOTAL ACTIVIDAD</t>
        </is>
      </c>
      <c r="D284" s="20">
        <f>SUM(G283:G283)</f>
        <v/>
      </c>
      <c r="E284" s="18" t="n"/>
      <c r="F284" s="18" t="n"/>
      <c r="G284" s="18" t="n"/>
      <c r="H284" s="20">
        <f>SUM(L283:L283)</f>
        <v/>
      </c>
      <c r="I284" s="18" t="n"/>
      <c r="J284" s="18" t="n"/>
      <c r="K284" s="18" t="n"/>
      <c r="L284" s="18" t="n"/>
      <c r="M284" s="20">
        <f>SUM(P283:P283)</f>
        <v/>
      </c>
      <c r="N284" s="18" t="n"/>
      <c r="O284" s="18" t="n"/>
      <c r="P284" s="18" t="n"/>
    </row>
    <row r="285">
      <c r="B285" s="21" t="n"/>
      <c r="C285" s="22" t="inlineStr">
        <is>
          <t>TOTAL ACTIVIDAD</t>
        </is>
      </c>
      <c r="D285" s="23">
        <f>D284+H284+M284</f>
        <v/>
      </c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</row>
    <row r="286">
      <c r="B286" s="13" t="inlineStr">
        <is>
          <t>6.2.3</t>
        </is>
      </c>
      <c r="C286" s="14" t="inlineStr">
        <is>
          <t>Capacitar al personal operativo de imprenta</t>
        </is>
      </c>
      <c r="D286" s="15" t="inlineStr">
        <is>
          <t>Gerardo Plasencia (Líder)</t>
        </is>
      </c>
      <c r="E286" s="16" t="n">
        <v>4</v>
      </c>
      <c r="F286" s="17" t="n">
        <v>19</v>
      </c>
      <c r="G286" s="17">
        <f>E286*F286</f>
        <v/>
      </c>
      <c r="H286" s="15" t="inlineStr">
        <is>
          <t>Alquiler proyector multimedia taller</t>
        </is>
      </c>
      <c r="I286" s="16" t="n">
        <v>1</v>
      </c>
      <c r="J286" s="17" t="n">
        <v>25</v>
      </c>
      <c r="K286" s="16" t="n">
        <v>1</v>
      </c>
      <c r="L286" s="17">
        <f>I286*J286*K286</f>
        <v/>
      </c>
      <c r="M286" s="15" t="inlineStr">
        <is>
          <t>Material didáctico para operadores y energía</t>
        </is>
      </c>
      <c r="N286" s="16" t="n">
        <v>1</v>
      </c>
      <c r="O286" s="17" t="n">
        <v>14</v>
      </c>
      <c r="P286" s="17">
        <f>N286*O286</f>
        <v/>
      </c>
    </row>
    <row r="287">
      <c r="B287" s="18" t="n"/>
      <c r="C287" s="19" t="inlineStr">
        <is>
          <t>SUB TOTAL ACTIVIDAD</t>
        </is>
      </c>
      <c r="D287" s="20">
        <f>SUM(G286:G286)</f>
        <v/>
      </c>
      <c r="E287" s="18" t="n"/>
      <c r="F287" s="18" t="n"/>
      <c r="G287" s="18" t="n"/>
      <c r="H287" s="20">
        <f>SUM(L286:L286)</f>
        <v/>
      </c>
      <c r="I287" s="18" t="n"/>
      <c r="J287" s="18" t="n"/>
      <c r="K287" s="18" t="n"/>
      <c r="L287" s="18" t="n"/>
      <c r="M287" s="20">
        <f>SUM(P286:P286)</f>
        <v/>
      </c>
      <c r="N287" s="18" t="n"/>
      <c r="O287" s="18" t="n"/>
      <c r="P287" s="18" t="n"/>
    </row>
    <row r="288">
      <c r="B288" s="21" t="n"/>
      <c r="C288" s="22" t="inlineStr">
        <is>
          <t>TOTAL ACTIVIDAD</t>
        </is>
      </c>
      <c r="D288" s="23">
        <f>D287+H287+M287</f>
        <v/>
      </c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</row>
    <row r="289">
      <c r="B289" s="24" t="inlineStr">
        <is>
          <t>SUB TOTAL PAQUETE</t>
        </is>
      </c>
      <c r="C289" s="18" t="n"/>
      <c r="D289" s="25">
        <f>SUM(D281,D284,D287)</f>
        <v/>
      </c>
      <c r="E289" s="18" t="n"/>
      <c r="F289" s="18" t="n"/>
      <c r="G289" s="18" t="n"/>
      <c r="H289" s="25">
        <f>SUM(H281,H284,H287)</f>
        <v/>
      </c>
      <c r="I289" s="18" t="n"/>
      <c r="J289" s="18" t="n"/>
      <c r="K289" s="18" t="n"/>
      <c r="L289" s="18" t="n"/>
      <c r="M289" s="25">
        <f>SUM(M281,M284,M287)</f>
        <v/>
      </c>
      <c r="N289" s="18" t="n"/>
      <c r="O289" s="18" t="n"/>
      <c r="P289" s="18" t="n"/>
    </row>
    <row r="290">
      <c r="B290" s="26" t="inlineStr">
        <is>
          <t>TOTAL PAQUETE</t>
        </is>
      </c>
      <c r="C290" s="21" t="n"/>
      <c r="D290" s="27">
        <f>D289+H289+M289</f>
        <v/>
      </c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</row>
    <row r="292" ht="24" customHeight="1">
      <c r="B292" s="1" t="inlineStr">
        <is>
          <t>FASE 7.0: PRÁCTICAS DE CAMPO, RSU Y EVALUACIÓN CIENTÍFICA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 ht="20" customHeight="1">
      <c r="B293" s="3" t="inlineStr">
        <is>
          <t>PAQUETE DE TRABAJO / ENTREGABLE</t>
        </is>
      </c>
      <c r="D293" s="4" t="inlineStr">
        <is>
          <t>EDT 7.1 – Práctica de Campo I (Semanas 1-7)</t>
        </is>
      </c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B294" s="6" t="inlineStr">
        <is>
          <t>ACTIVIDAD</t>
        </is>
      </c>
      <c r="C294" s="5" t="n"/>
      <c r="D294" s="6" t="inlineStr">
        <is>
          <t>COSTOS</t>
        </is>
      </c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B295" s="6" t="inlineStr">
        <is>
          <t>CODIGO</t>
        </is>
      </c>
      <c r="C295" s="6" t="inlineStr">
        <is>
          <t>DESCRIPCION</t>
        </is>
      </c>
      <c r="D295" s="7" t="inlineStr">
        <is>
          <t>RECURSOS HUMANOS</t>
        </is>
      </c>
      <c r="E295" s="8" t="n"/>
      <c r="F295" s="8" t="n"/>
      <c r="G295" s="8" t="n"/>
      <c r="H295" s="9" t="inlineStr">
        <is>
          <t>MAQUINARIA/EQUIPOS/INFRAESTRUCTURA</t>
        </is>
      </c>
      <c r="I295" s="10" t="n"/>
      <c r="J295" s="10" t="n"/>
      <c r="K295" s="10" t="n"/>
      <c r="L295" s="10" t="n"/>
      <c r="M295" s="11" t="inlineStr">
        <is>
          <t>CONSUMIBLES/SERVICIOS</t>
        </is>
      </c>
      <c r="N295" s="12" t="n"/>
      <c r="O295" s="12" t="n"/>
      <c r="P295" s="12" t="n"/>
    </row>
    <row r="296">
      <c r="D296" s="7" t="inlineStr">
        <is>
          <t>Nombre del Recurso</t>
        </is>
      </c>
      <c r="E296" s="7" t="inlineStr">
        <is>
          <t>Numero de Horas</t>
        </is>
      </c>
      <c r="F296" s="7" t="inlineStr">
        <is>
          <t>Costo x Hora</t>
        </is>
      </c>
      <c r="G296" s="7" t="inlineStr">
        <is>
          <t>Costo Total</t>
        </is>
      </c>
      <c r="H296" s="9" t="inlineStr">
        <is>
          <t>Nombre del Recurso</t>
        </is>
      </c>
      <c r="I296" s="9" t="inlineStr">
        <is>
          <t>Cantidad</t>
        </is>
      </c>
      <c r="J296" s="9" t="inlineStr">
        <is>
          <t>Costo x día</t>
        </is>
      </c>
      <c r="K296" s="9" t="inlineStr">
        <is>
          <t>Nro. De días</t>
        </is>
      </c>
      <c r="L296" s="9" t="inlineStr">
        <is>
          <t>Total</t>
        </is>
      </c>
      <c r="M296" s="11" t="inlineStr">
        <is>
          <t>Nombre del Recurso</t>
        </is>
      </c>
      <c r="N296" s="11" t="inlineStr">
        <is>
          <t>Cantidad</t>
        </is>
      </c>
      <c r="O296" s="11" t="inlineStr">
        <is>
          <t>Costo Unitario</t>
        </is>
      </c>
      <c r="P296" s="11" t="inlineStr">
        <is>
          <t>IMPORTE</t>
        </is>
      </c>
    </row>
    <row r="297">
      <c r="B297" s="13" t="inlineStr">
        <is>
          <t>7.1.1</t>
        </is>
      </c>
      <c r="C297" s="14" t="inlineStr">
        <is>
          <t>Recolectar los datos iniciales en taller</t>
        </is>
      </c>
      <c r="D297" s="15" t="inlineStr">
        <is>
          <t>Gerardo Plasencia (Líder)</t>
        </is>
      </c>
      <c r="E297" s="16" t="n">
        <v>2.5</v>
      </c>
      <c r="F297" s="17" t="n">
        <v>16</v>
      </c>
      <c r="G297" s="17">
        <f>E297*F297</f>
        <v/>
      </c>
      <c r="H297" s="15" t="inlineStr">
        <is>
          <t>Alquiler Laptop recolección</t>
        </is>
      </c>
      <c r="I297" s="16" t="n">
        <v>1</v>
      </c>
      <c r="J297" s="17" t="n">
        <v>5</v>
      </c>
      <c r="K297" s="16" t="n">
        <v>2</v>
      </c>
      <c r="L297" s="17">
        <f>I297*J297*K297</f>
        <v/>
      </c>
      <c r="M297" s="15" t="inlineStr">
        <is>
          <t>Movilidad taller y energía</t>
        </is>
      </c>
      <c r="N297" s="16" t="n">
        <v>1</v>
      </c>
      <c r="O297" s="17" t="n">
        <v>10</v>
      </c>
      <c r="P297" s="17">
        <f>N297*O297</f>
        <v/>
      </c>
    </row>
    <row r="298">
      <c r="B298" s="18" t="n"/>
      <c r="C298" s="19" t="inlineStr">
        <is>
          <t>SUB TOTAL ACTIVIDAD</t>
        </is>
      </c>
      <c r="D298" s="20">
        <f>SUM(G297:G297)</f>
        <v/>
      </c>
      <c r="E298" s="18" t="n"/>
      <c r="F298" s="18" t="n"/>
      <c r="G298" s="18" t="n"/>
      <c r="H298" s="20">
        <f>SUM(L297:L297)</f>
        <v/>
      </c>
      <c r="I298" s="18" t="n"/>
      <c r="J298" s="18" t="n"/>
      <c r="K298" s="18" t="n"/>
      <c r="L298" s="18" t="n"/>
      <c r="M298" s="20">
        <f>SUM(P297:P297)</f>
        <v/>
      </c>
      <c r="N298" s="18" t="n"/>
      <c r="O298" s="18" t="n"/>
      <c r="P298" s="18" t="n"/>
    </row>
    <row r="299">
      <c r="B299" s="21" t="n"/>
      <c r="C299" s="22" t="inlineStr">
        <is>
          <t>TOTAL ACTIVIDAD</t>
        </is>
      </c>
      <c r="D299" s="23">
        <f>D298+H298+M298</f>
        <v/>
      </c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</row>
    <row r="300">
      <c r="B300" s="13" t="inlineStr">
        <is>
          <t>7.1.2</t>
        </is>
      </c>
      <c r="C300" s="14" t="inlineStr">
        <is>
          <t>Redactar el Capítulo I: Introducción</t>
        </is>
      </c>
      <c r="D300" s="15" t="inlineStr">
        <is>
          <t>Estibb Anhuaman (Frontend)</t>
        </is>
      </c>
      <c r="E300" s="16" t="n">
        <v>2.5</v>
      </c>
      <c r="F300" s="17" t="n">
        <v>16</v>
      </c>
      <c r="G300" s="17">
        <f>E300*F300</f>
        <v/>
      </c>
      <c r="H300" s="15" t="inlineStr">
        <is>
          <t>Alquiler Laptop redacción</t>
        </is>
      </c>
      <c r="I300" s="16" t="n">
        <v>1</v>
      </c>
      <c r="J300" s="17" t="n">
        <v>5</v>
      </c>
      <c r="K300" s="16" t="n">
        <v>2</v>
      </c>
      <c r="L300" s="17">
        <f>I300*J300*K300</f>
        <v/>
      </c>
      <c r="M300" s="15" t="inlineStr">
        <is>
          <t>Energía eléctrica e internet</t>
        </is>
      </c>
      <c r="N300" s="16" t="n">
        <v>1</v>
      </c>
      <c r="O300" s="17" t="n">
        <v>10</v>
      </c>
      <c r="P300" s="17">
        <f>N300*O300</f>
        <v/>
      </c>
    </row>
    <row r="301">
      <c r="B301" s="18" t="n"/>
      <c r="C301" s="19" t="inlineStr">
        <is>
          <t>SUB TOTAL ACTIVIDAD</t>
        </is>
      </c>
      <c r="D301" s="20">
        <f>SUM(G300:G300)</f>
        <v/>
      </c>
      <c r="E301" s="18" t="n"/>
      <c r="F301" s="18" t="n"/>
      <c r="G301" s="18" t="n"/>
      <c r="H301" s="20">
        <f>SUM(L300:L300)</f>
        <v/>
      </c>
      <c r="I301" s="18" t="n"/>
      <c r="J301" s="18" t="n"/>
      <c r="K301" s="18" t="n"/>
      <c r="L301" s="18" t="n"/>
      <c r="M301" s="20">
        <f>SUM(P300:P300)</f>
        <v/>
      </c>
      <c r="N301" s="18" t="n"/>
      <c r="O301" s="18" t="n"/>
      <c r="P301" s="18" t="n"/>
    </row>
    <row r="302">
      <c r="B302" s="21" t="n"/>
      <c r="C302" s="22" t="inlineStr">
        <is>
          <t>TOTAL ACTIVIDAD</t>
        </is>
      </c>
      <c r="D302" s="23">
        <f>D301+H301+M301</f>
        <v/>
      </c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</row>
    <row r="303">
      <c r="B303" s="13" t="inlineStr">
        <is>
          <t>7.1.3</t>
        </is>
      </c>
      <c r="C303" s="14" t="inlineStr">
        <is>
          <t>Redactar el Capítulo II: Marco Metodológico</t>
        </is>
      </c>
      <c r="D303" s="15" t="inlineStr">
        <is>
          <t>Diego Rodríguez (Backend)</t>
        </is>
      </c>
      <c r="E303" s="16" t="n">
        <v>2.5</v>
      </c>
      <c r="F303" s="17" t="n">
        <v>16</v>
      </c>
      <c r="G303" s="17">
        <f>E303*F303</f>
        <v/>
      </c>
      <c r="H303" s="15" t="inlineStr">
        <is>
          <t>Alquiler Laptop redacción</t>
        </is>
      </c>
      <c r="I303" s="16" t="n">
        <v>1</v>
      </c>
      <c r="J303" s="17" t="n">
        <v>5</v>
      </c>
      <c r="K303" s="16" t="n">
        <v>2</v>
      </c>
      <c r="L303" s="17">
        <f>I303*J303*K303</f>
        <v/>
      </c>
      <c r="M303" s="15" t="inlineStr">
        <is>
          <t>Energía eléctrica e internet</t>
        </is>
      </c>
      <c r="N303" s="16" t="n">
        <v>1</v>
      </c>
      <c r="O303" s="17" t="n">
        <v>10</v>
      </c>
      <c r="P303" s="17">
        <f>N303*O303</f>
        <v/>
      </c>
    </row>
    <row r="304">
      <c r="B304" s="18" t="n"/>
      <c r="C304" s="19" t="inlineStr">
        <is>
          <t>SUB TOTAL ACTIVIDAD</t>
        </is>
      </c>
      <c r="D304" s="20">
        <f>SUM(G303:G303)</f>
        <v/>
      </c>
      <c r="E304" s="18" t="n"/>
      <c r="F304" s="18" t="n"/>
      <c r="G304" s="18" t="n"/>
      <c r="H304" s="20">
        <f>SUM(L303:L303)</f>
        <v/>
      </c>
      <c r="I304" s="18" t="n"/>
      <c r="J304" s="18" t="n"/>
      <c r="K304" s="18" t="n"/>
      <c r="L304" s="18" t="n"/>
      <c r="M304" s="20">
        <f>SUM(P303:P303)</f>
        <v/>
      </c>
      <c r="N304" s="18" t="n"/>
      <c r="O304" s="18" t="n"/>
      <c r="P304" s="18" t="n"/>
    </row>
    <row r="305">
      <c r="B305" s="21" t="n"/>
      <c r="C305" s="22" t="inlineStr">
        <is>
          <t>TOTAL ACTIVIDAD</t>
        </is>
      </c>
      <c r="D305" s="23">
        <f>D304+H304+M304</f>
        <v/>
      </c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</row>
    <row r="306">
      <c r="B306" s="24" t="inlineStr">
        <is>
          <t>SUB TOTAL PAQUETE</t>
        </is>
      </c>
      <c r="C306" s="18" t="n"/>
      <c r="D306" s="25">
        <f>SUM(D298,D301,D304)</f>
        <v/>
      </c>
      <c r="E306" s="18" t="n"/>
      <c r="F306" s="18" t="n"/>
      <c r="G306" s="18" t="n"/>
      <c r="H306" s="25">
        <f>SUM(H298,H301,H304)</f>
        <v/>
      </c>
      <c r="I306" s="18" t="n"/>
      <c r="J306" s="18" t="n"/>
      <c r="K306" s="18" t="n"/>
      <c r="L306" s="18" t="n"/>
      <c r="M306" s="25">
        <f>SUM(M298,M301,M304)</f>
        <v/>
      </c>
      <c r="N306" s="18" t="n"/>
      <c r="O306" s="18" t="n"/>
      <c r="P306" s="18" t="n"/>
    </row>
    <row r="307">
      <c r="B307" s="26" t="inlineStr">
        <is>
          <t>TOTAL PAQUETE</t>
        </is>
      </c>
      <c r="C307" s="21" t="n"/>
      <c r="D307" s="27">
        <f>D306+H306+M306</f>
        <v/>
      </c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</row>
    <row r="309" ht="20" customHeight="1">
      <c r="B309" s="3" t="inlineStr">
        <is>
          <t>PAQUETE DE TRABAJO / ENTREGABLE</t>
        </is>
      </c>
      <c r="D309" s="4" t="inlineStr">
        <is>
          <t>EDT 7.2 – Práctica de Campo II (Semanas 8-13)</t>
        </is>
      </c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>
      <c r="B310" s="6" t="inlineStr">
        <is>
          <t>ACTIVIDAD</t>
        </is>
      </c>
      <c r="C310" s="5" t="n"/>
      <c r="D310" s="6" t="inlineStr">
        <is>
          <t>COSTOS</t>
        </is>
      </c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>
      <c r="B311" s="6" t="inlineStr">
        <is>
          <t>CODIGO</t>
        </is>
      </c>
      <c r="C311" s="6" t="inlineStr">
        <is>
          <t>DESCRIPCION</t>
        </is>
      </c>
      <c r="D311" s="7" t="inlineStr">
        <is>
          <t>RECURSOS HUMANOS</t>
        </is>
      </c>
      <c r="E311" s="8" t="n"/>
      <c r="F311" s="8" t="n"/>
      <c r="G311" s="8" t="n"/>
      <c r="H311" s="9" t="inlineStr">
        <is>
          <t>MAQUINARIA/EQUIPOS/INFRAESTRUCTURA</t>
        </is>
      </c>
      <c r="I311" s="10" t="n"/>
      <c r="J311" s="10" t="n"/>
      <c r="K311" s="10" t="n"/>
      <c r="L311" s="10" t="n"/>
      <c r="M311" s="11" t="inlineStr">
        <is>
          <t>CONSUMIBLES/SERVICIOS</t>
        </is>
      </c>
      <c r="N311" s="12" t="n"/>
      <c r="O311" s="12" t="n"/>
      <c r="P311" s="12" t="n"/>
    </row>
    <row r="312">
      <c r="D312" s="7" t="inlineStr">
        <is>
          <t>Nombre del Recurso</t>
        </is>
      </c>
      <c r="E312" s="7" t="inlineStr">
        <is>
          <t>Numero de Horas</t>
        </is>
      </c>
      <c r="F312" s="7" t="inlineStr">
        <is>
          <t>Costo x Hora</t>
        </is>
      </c>
      <c r="G312" s="7" t="inlineStr">
        <is>
          <t>Costo Total</t>
        </is>
      </c>
      <c r="H312" s="9" t="inlineStr">
        <is>
          <t>Nombre del Recurso</t>
        </is>
      </c>
      <c r="I312" s="9" t="inlineStr">
        <is>
          <t>Cantidad</t>
        </is>
      </c>
      <c r="J312" s="9" t="inlineStr">
        <is>
          <t>Costo x día</t>
        </is>
      </c>
      <c r="K312" s="9" t="inlineStr">
        <is>
          <t>Nro. De días</t>
        </is>
      </c>
      <c r="L312" s="9" t="inlineStr">
        <is>
          <t>Total</t>
        </is>
      </c>
      <c r="M312" s="11" t="inlineStr">
        <is>
          <t>Nombre del Recurso</t>
        </is>
      </c>
      <c r="N312" s="11" t="inlineStr">
        <is>
          <t>Cantidad</t>
        </is>
      </c>
      <c r="O312" s="11" t="inlineStr">
        <is>
          <t>Costo Unitario</t>
        </is>
      </c>
      <c r="P312" s="11" t="inlineStr">
        <is>
          <t>IMPORTE</t>
        </is>
      </c>
    </row>
    <row r="313">
      <c r="B313" s="13" t="inlineStr">
        <is>
          <t>7.2.1</t>
        </is>
      </c>
      <c r="C313" s="14" t="inlineStr">
        <is>
          <t>Redactar el Capítulo V: Desarrollo de Solución</t>
        </is>
      </c>
      <c r="D313" s="15" t="inlineStr">
        <is>
          <t>Gerardo Plasencia (Líder)</t>
        </is>
      </c>
      <c r="E313" s="16" t="n">
        <v>2.5</v>
      </c>
      <c r="F313" s="17" t="n">
        <v>16</v>
      </c>
      <c r="G313" s="17">
        <f>E313*F313</f>
        <v/>
      </c>
      <c r="H313" s="15" t="inlineStr">
        <is>
          <t>Alquiler Laptop redacción</t>
        </is>
      </c>
      <c r="I313" s="16" t="n">
        <v>1</v>
      </c>
      <c r="J313" s="17" t="n">
        <v>5</v>
      </c>
      <c r="K313" s="16" t="n">
        <v>2</v>
      </c>
      <c r="L313" s="17">
        <f>I313*J313*K313</f>
        <v/>
      </c>
      <c r="M313" s="15" t="inlineStr">
        <is>
          <t>Energía eléctrica e internet</t>
        </is>
      </c>
      <c r="N313" s="16" t="n">
        <v>1</v>
      </c>
      <c r="O313" s="17" t="n">
        <v>10</v>
      </c>
      <c r="P313" s="17">
        <f>N313*O313</f>
        <v/>
      </c>
    </row>
    <row r="314">
      <c r="B314" s="18" t="n"/>
      <c r="C314" s="19" t="inlineStr">
        <is>
          <t>SUB TOTAL ACTIVIDAD</t>
        </is>
      </c>
      <c r="D314" s="20">
        <f>SUM(G313:G313)</f>
        <v/>
      </c>
      <c r="E314" s="18" t="n"/>
      <c r="F314" s="18" t="n"/>
      <c r="G314" s="18" t="n"/>
      <c r="H314" s="20">
        <f>SUM(L313:L313)</f>
        <v/>
      </c>
      <c r="I314" s="18" t="n"/>
      <c r="J314" s="18" t="n"/>
      <c r="K314" s="18" t="n"/>
      <c r="L314" s="18" t="n"/>
      <c r="M314" s="20">
        <f>SUM(P313:P313)</f>
        <v/>
      </c>
      <c r="N314" s="18" t="n"/>
      <c r="O314" s="18" t="n"/>
      <c r="P314" s="18" t="n"/>
    </row>
    <row r="315">
      <c r="B315" s="21" t="n"/>
      <c r="C315" s="22" t="inlineStr">
        <is>
          <t>TOTAL ACTIVIDAD</t>
        </is>
      </c>
      <c r="D315" s="23">
        <f>D314+H314+M314</f>
        <v/>
      </c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</row>
    <row r="316">
      <c r="B316" s="13" t="inlineStr">
        <is>
          <t>7.2.2</t>
        </is>
      </c>
      <c r="C316" s="14" t="inlineStr">
        <is>
          <t>Redactar el Capítulo VII: Resultados y Discusión</t>
        </is>
      </c>
      <c r="D316" s="15" t="inlineStr">
        <is>
          <t>Diego Rodríguez (Backend)</t>
        </is>
      </c>
      <c r="E316" s="16" t="n">
        <v>2.5</v>
      </c>
      <c r="F316" s="17" t="n">
        <v>16</v>
      </c>
      <c r="G316" s="17">
        <f>E316*F316</f>
        <v/>
      </c>
      <c r="H316" s="15" t="inlineStr">
        <is>
          <t>Alquiler Laptop análisis</t>
        </is>
      </c>
      <c r="I316" s="16" t="n">
        <v>1</v>
      </c>
      <c r="J316" s="17" t="n">
        <v>5</v>
      </c>
      <c r="K316" s="16" t="n">
        <v>2</v>
      </c>
      <c r="L316" s="17">
        <f>I316*J316*K316</f>
        <v/>
      </c>
      <c r="M316" s="15" t="inlineStr">
        <is>
          <t>Energía eléctrica e internet</t>
        </is>
      </c>
      <c r="N316" s="16" t="n">
        <v>1</v>
      </c>
      <c r="O316" s="17" t="n">
        <v>10</v>
      </c>
      <c r="P316" s="17">
        <f>N316*O316</f>
        <v/>
      </c>
    </row>
    <row r="317">
      <c r="B317" s="18" t="n"/>
      <c r="C317" s="19" t="inlineStr">
        <is>
          <t>SUB TOTAL ACTIVIDAD</t>
        </is>
      </c>
      <c r="D317" s="20">
        <f>SUM(G316:G316)</f>
        <v/>
      </c>
      <c r="E317" s="18" t="n"/>
      <c r="F317" s="18" t="n"/>
      <c r="G317" s="18" t="n"/>
      <c r="H317" s="20">
        <f>SUM(L316:L316)</f>
        <v/>
      </c>
      <c r="I317" s="18" t="n"/>
      <c r="J317" s="18" t="n"/>
      <c r="K317" s="18" t="n"/>
      <c r="L317" s="18" t="n"/>
      <c r="M317" s="20">
        <f>SUM(P316:P316)</f>
        <v/>
      </c>
      <c r="N317" s="18" t="n"/>
      <c r="O317" s="18" t="n"/>
      <c r="P317" s="18" t="n"/>
    </row>
    <row r="318">
      <c r="B318" s="21" t="n"/>
      <c r="C318" s="22" t="inlineStr">
        <is>
          <t>TOTAL ACTIVIDAD</t>
        </is>
      </c>
      <c r="D318" s="23">
        <f>D317+H317+M317</f>
        <v/>
      </c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</row>
    <row r="319">
      <c r="B319" s="13" t="inlineStr">
        <is>
          <t>7.2.3</t>
        </is>
      </c>
      <c r="C319" s="14" t="inlineStr">
        <is>
          <t>Consolidar el informe de campo de taller</t>
        </is>
      </c>
      <c r="D319" s="15" t="inlineStr">
        <is>
          <t>Estibb Anhuaman (Frontend)</t>
        </is>
      </c>
      <c r="E319" s="16" t="n">
        <v>2.5</v>
      </c>
      <c r="F319" s="17" t="n">
        <v>16</v>
      </c>
      <c r="G319" s="17">
        <f>E319*F319</f>
        <v/>
      </c>
      <c r="H319" s="15" t="inlineStr">
        <is>
          <t>Alquiler Laptop consolidación</t>
        </is>
      </c>
      <c r="I319" s="16" t="n">
        <v>1</v>
      </c>
      <c r="J319" s="17" t="n">
        <v>5</v>
      </c>
      <c r="K319" s="16" t="n">
        <v>2</v>
      </c>
      <c r="L319" s="17">
        <f>I319*J319*K319</f>
        <v/>
      </c>
      <c r="M319" s="15" t="inlineStr">
        <is>
          <t>Energía eléctrica e impresión borrador</t>
        </is>
      </c>
      <c r="N319" s="16" t="n">
        <v>1</v>
      </c>
      <c r="O319" s="17" t="n">
        <v>10</v>
      </c>
      <c r="P319" s="17">
        <f>N319*O319</f>
        <v/>
      </c>
    </row>
    <row r="320">
      <c r="B320" s="18" t="n"/>
      <c r="C320" s="19" t="inlineStr">
        <is>
          <t>SUB TOTAL ACTIVIDAD</t>
        </is>
      </c>
      <c r="D320" s="20">
        <f>SUM(G319:G319)</f>
        <v/>
      </c>
      <c r="E320" s="18" t="n"/>
      <c r="F320" s="18" t="n"/>
      <c r="G320" s="18" t="n"/>
      <c r="H320" s="20">
        <f>SUM(L319:L319)</f>
        <v/>
      </c>
      <c r="I320" s="18" t="n"/>
      <c r="J320" s="18" t="n"/>
      <c r="K320" s="18" t="n"/>
      <c r="L320" s="18" t="n"/>
      <c r="M320" s="20">
        <f>SUM(P319:P319)</f>
        <v/>
      </c>
      <c r="N320" s="18" t="n"/>
      <c r="O320" s="18" t="n"/>
      <c r="P320" s="18" t="n"/>
    </row>
    <row r="321">
      <c r="B321" s="21" t="n"/>
      <c r="C321" s="22" t="inlineStr">
        <is>
          <t>TOTAL ACTIVIDAD</t>
        </is>
      </c>
      <c r="D321" s="23">
        <f>D320+H320+M320</f>
        <v/>
      </c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</row>
    <row r="322">
      <c r="B322" s="24" t="inlineStr">
        <is>
          <t>SUB TOTAL PAQUETE</t>
        </is>
      </c>
      <c r="C322" s="18" t="n"/>
      <c r="D322" s="25">
        <f>SUM(D314,D317,D320)</f>
        <v/>
      </c>
      <c r="E322" s="18" t="n"/>
      <c r="F322" s="18" t="n"/>
      <c r="G322" s="18" t="n"/>
      <c r="H322" s="25">
        <f>SUM(H314,H317,H320)</f>
        <v/>
      </c>
      <c r="I322" s="18" t="n"/>
      <c r="J322" s="18" t="n"/>
      <c r="K322" s="18" t="n"/>
      <c r="L322" s="18" t="n"/>
      <c r="M322" s="25">
        <f>SUM(M314,M317,M320)</f>
        <v/>
      </c>
      <c r="N322" s="18" t="n"/>
      <c r="O322" s="18" t="n"/>
      <c r="P322" s="18" t="n"/>
    </row>
    <row r="323">
      <c r="B323" s="26" t="inlineStr">
        <is>
          <t>TOTAL PAQUETE</t>
        </is>
      </c>
      <c r="C323" s="21" t="n"/>
      <c r="D323" s="27">
        <f>D322+H322+M322</f>
        <v/>
      </c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</row>
    <row r="325" ht="20" customHeight="1">
      <c r="B325" s="3" t="inlineStr">
        <is>
          <t>PAQUETE DE TRABAJO / ENTREGABLE</t>
        </is>
      </c>
      <c r="D325" s="4" t="inlineStr">
        <is>
          <t>EDT 7.3 – Responsabilidad Social Universitaria</t>
        </is>
      </c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>
      <c r="B326" s="6" t="inlineStr">
        <is>
          <t>ACTIVIDAD</t>
        </is>
      </c>
      <c r="C326" s="5" t="n"/>
      <c r="D326" s="6" t="inlineStr">
        <is>
          <t>COSTOS</t>
        </is>
      </c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>
      <c r="B327" s="6" t="inlineStr">
        <is>
          <t>CODIGO</t>
        </is>
      </c>
      <c r="C327" s="6" t="inlineStr">
        <is>
          <t>DESCRIPCION</t>
        </is>
      </c>
      <c r="D327" s="7" t="inlineStr">
        <is>
          <t>RECURSOS HUMANOS</t>
        </is>
      </c>
      <c r="E327" s="8" t="n"/>
      <c r="F327" s="8" t="n"/>
      <c r="G327" s="8" t="n"/>
      <c r="H327" s="9" t="inlineStr">
        <is>
          <t>MAQUINARIA/EQUIPOS/INFRAESTRUCTURA</t>
        </is>
      </c>
      <c r="I327" s="10" t="n"/>
      <c r="J327" s="10" t="n"/>
      <c r="K327" s="10" t="n"/>
      <c r="L327" s="10" t="n"/>
      <c r="M327" s="11" t="inlineStr">
        <is>
          <t>CONSUMIBLES/SERVICIOS</t>
        </is>
      </c>
      <c r="N327" s="12" t="n"/>
      <c r="O327" s="12" t="n"/>
      <c r="P327" s="12" t="n"/>
    </row>
    <row r="328">
      <c r="D328" s="7" t="inlineStr">
        <is>
          <t>Nombre del Recurso</t>
        </is>
      </c>
      <c r="E328" s="7" t="inlineStr">
        <is>
          <t>Numero de Horas</t>
        </is>
      </c>
      <c r="F328" s="7" t="inlineStr">
        <is>
          <t>Costo x Hora</t>
        </is>
      </c>
      <c r="G328" s="7" t="inlineStr">
        <is>
          <t>Costo Total</t>
        </is>
      </c>
      <c r="H328" s="9" t="inlineStr">
        <is>
          <t>Nombre del Recurso</t>
        </is>
      </c>
      <c r="I328" s="9" t="inlineStr">
        <is>
          <t>Cantidad</t>
        </is>
      </c>
      <c r="J328" s="9" t="inlineStr">
        <is>
          <t>Costo x día</t>
        </is>
      </c>
      <c r="K328" s="9" t="inlineStr">
        <is>
          <t>Nro. De días</t>
        </is>
      </c>
      <c r="L328" s="9" t="inlineStr">
        <is>
          <t>Total</t>
        </is>
      </c>
      <c r="M328" s="11" t="inlineStr">
        <is>
          <t>Nombre del Recurso</t>
        </is>
      </c>
      <c r="N328" s="11" t="inlineStr">
        <is>
          <t>Cantidad</t>
        </is>
      </c>
      <c r="O328" s="11" t="inlineStr">
        <is>
          <t>Costo Unitario</t>
        </is>
      </c>
      <c r="P328" s="11" t="inlineStr">
        <is>
          <t>IMPORTE</t>
        </is>
      </c>
    </row>
    <row r="329">
      <c r="B329" s="13" t="inlineStr">
        <is>
          <t>7.3.1</t>
        </is>
      </c>
      <c r="C329" s="14" t="inlineStr">
        <is>
          <t>Ejecutar actividad de responsabilidad social RSU</t>
        </is>
      </c>
      <c r="D329" s="15" t="inlineStr">
        <is>
          <t>Gerardo Plasencia (Líder)</t>
        </is>
      </c>
      <c r="E329" s="16" t="n">
        <v>2.5</v>
      </c>
      <c r="F329" s="17" t="n">
        <v>16</v>
      </c>
      <c r="G329" s="17">
        <f>E329*F329</f>
        <v/>
      </c>
      <c r="H329" s="15" t="inlineStr">
        <is>
          <t>Movilidad a comunidad MYPE Trujillo</t>
        </is>
      </c>
      <c r="I329" s="16" t="n">
        <v>1</v>
      </c>
      <c r="J329" s="17" t="n">
        <v>10</v>
      </c>
      <c r="K329" s="16" t="n">
        <v>1</v>
      </c>
      <c r="L329" s="17">
        <f>I329*J329*K329</f>
        <v/>
      </c>
      <c r="M329" s="15" t="inlineStr">
        <is>
          <t>Folletos de alfabetización digital y refrigerio</t>
        </is>
      </c>
      <c r="N329" s="16" t="n">
        <v>1</v>
      </c>
      <c r="O329" s="17" t="n">
        <v>10</v>
      </c>
      <c r="P329" s="17">
        <f>N329*O329</f>
        <v/>
      </c>
    </row>
    <row r="330">
      <c r="B330" s="18" t="n"/>
      <c r="C330" s="19" t="inlineStr">
        <is>
          <t>SUB TOTAL ACTIVIDAD</t>
        </is>
      </c>
      <c r="D330" s="20">
        <f>SUM(G329:G329)</f>
        <v/>
      </c>
      <c r="E330" s="18" t="n"/>
      <c r="F330" s="18" t="n"/>
      <c r="G330" s="18" t="n"/>
      <c r="H330" s="20">
        <f>SUM(L329:L329)</f>
        <v/>
      </c>
      <c r="I330" s="18" t="n"/>
      <c r="J330" s="18" t="n"/>
      <c r="K330" s="18" t="n"/>
      <c r="L330" s="18" t="n"/>
      <c r="M330" s="20">
        <f>SUM(P329:P329)</f>
        <v/>
      </c>
      <c r="N330" s="18" t="n"/>
      <c r="O330" s="18" t="n"/>
      <c r="P330" s="18" t="n"/>
    </row>
    <row r="331">
      <c r="B331" s="21" t="n"/>
      <c r="C331" s="22" t="inlineStr">
        <is>
          <t>TOTAL ACTIVIDAD</t>
        </is>
      </c>
      <c r="D331" s="23">
        <f>D330+H330+M330</f>
        <v/>
      </c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</row>
    <row r="332">
      <c r="B332" s="24" t="inlineStr">
        <is>
          <t>SUB TOTAL PAQUETE</t>
        </is>
      </c>
      <c r="C332" s="18" t="n"/>
      <c r="D332" s="25">
        <f>SUM(D330)</f>
        <v/>
      </c>
      <c r="E332" s="18" t="n"/>
      <c r="F332" s="18" t="n"/>
      <c r="G332" s="18" t="n"/>
      <c r="H332" s="25">
        <f>SUM(H330)</f>
        <v/>
      </c>
      <c r="I332" s="18" t="n"/>
      <c r="J332" s="18" t="n"/>
      <c r="K332" s="18" t="n"/>
      <c r="L332" s="18" t="n"/>
      <c r="M332" s="25">
        <f>SUM(M330)</f>
        <v/>
      </c>
      <c r="N332" s="18" t="n"/>
      <c r="O332" s="18" t="n"/>
      <c r="P332" s="18" t="n"/>
    </row>
    <row r="333">
      <c r="B333" s="26" t="inlineStr">
        <is>
          <t>TOTAL PAQUETE</t>
        </is>
      </c>
      <c r="C333" s="21" t="n"/>
      <c r="D333" s="27">
        <f>D332+H332+M332</f>
        <v/>
      </c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</row>
    <row r="335" ht="20" customHeight="1">
      <c r="B335" s="3" t="inlineStr">
        <is>
          <t>PAQUETE DE TRABAJO / ENTREGABLE</t>
        </is>
      </c>
      <c r="D335" s="4" t="inlineStr">
        <is>
          <t>EDT 7.4 – Medición de Línea Base Pretest</t>
        </is>
      </c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>
      <c r="B336" s="6" t="inlineStr">
        <is>
          <t>ACTIVIDAD</t>
        </is>
      </c>
      <c r="C336" s="5" t="n"/>
      <c r="D336" s="6" t="inlineStr">
        <is>
          <t>COSTOS</t>
        </is>
      </c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>
      <c r="B337" s="6" t="inlineStr">
        <is>
          <t>CODIGO</t>
        </is>
      </c>
      <c r="C337" s="6" t="inlineStr">
        <is>
          <t>DESCRIPCION</t>
        </is>
      </c>
      <c r="D337" s="7" t="inlineStr">
        <is>
          <t>RECURSOS HUMANOS</t>
        </is>
      </c>
      <c r="E337" s="8" t="n"/>
      <c r="F337" s="8" t="n"/>
      <c r="G337" s="8" t="n"/>
      <c r="H337" s="9" t="inlineStr">
        <is>
          <t>MAQUINARIA/EQUIPOS/INFRAESTRUCTURA</t>
        </is>
      </c>
      <c r="I337" s="10" t="n"/>
      <c r="J337" s="10" t="n"/>
      <c r="K337" s="10" t="n"/>
      <c r="L337" s="10" t="n"/>
      <c r="M337" s="11" t="inlineStr">
        <is>
          <t>CONSUMIBLES/SERVICIOS</t>
        </is>
      </c>
      <c r="N337" s="12" t="n"/>
      <c r="O337" s="12" t="n"/>
      <c r="P337" s="12" t="n"/>
    </row>
    <row r="338">
      <c r="D338" s="7" t="inlineStr">
        <is>
          <t>Nombre del Recurso</t>
        </is>
      </c>
      <c r="E338" s="7" t="inlineStr">
        <is>
          <t>Numero de Horas</t>
        </is>
      </c>
      <c r="F338" s="7" t="inlineStr">
        <is>
          <t>Costo x Hora</t>
        </is>
      </c>
      <c r="G338" s="7" t="inlineStr">
        <is>
          <t>Costo Total</t>
        </is>
      </c>
      <c r="H338" s="9" t="inlineStr">
        <is>
          <t>Nombre del Recurso</t>
        </is>
      </c>
      <c r="I338" s="9" t="inlineStr">
        <is>
          <t>Cantidad</t>
        </is>
      </c>
      <c r="J338" s="9" t="inlineStr">
        <is>
          <t>Costo x día</t>
        </is>
      </c>
      <c r="K338" s="9" t="inlineStr">
        <is>
          <t>Nro. De días</t>
        </is>
      </c>
      <c r="L338" s="9" t="inlineStr">
        <is>
          <t>Total</t>
        </is>
      </c>
      <c r="M338" s="11" t="inlineStr">
        <is>
          <t>Nombre del Recurso</t>
        </is>
      </c>
      <c r="N338" s="11" t="inlineStr">
        <is>
          <t>Cantidad</t>
        </is>
      </c>
      <c r="O338" s="11" t="inlineStr">
        <is>
          <t>Costo Unitario</t>
        </is>
      </c>
      <c r="P338" s="11" t="inlineStr">
        <is>
          <t>IMPORTE</t>
        </is>
      </c>
    </row>
    <row r="339">
      <c r="B339" s="13" t="inlineStr">
        <is>
          <t>7.4.1</t>
        </is>
      </c>
      <c r="C339" s="14" t="inlineStr">
        <is>
          <t>Medir la línea base pretest en la imprenta</t>
        </is>
      </c>
      <c r="D339" s="15" t="inlineStr">
        <is>
          <t>Gerardo Plasencia (Líder)</t>
        </is>
      </c>
      <c r="E339" s="16" t="n">
        <v>2.5</v>
      </c>
      <c r="F339" s="17" t="n">
        <v>16</v>
      </c>
      <c r="G339" s="17">
        <f>E339*F339</f>
        <v/>
      </c>
      <c r="H339" s="15" t="inlineStr">
        <is>
          <t>Alquiler cronómetro y Laptop registro</t>
        </is>
      </c>
      <c r="I339" s="16" t="n">
        <v>1</v>
      </c>
      <c r="J339" s="17" t="n">
        <v>5</v>
      </c>
      <c r="K339" s="16" t="n">
        <v>2</v>
      </c>
      <c r="L339" s="17">
        <f>I339*J339*K339</f>
        <v/>
      </c>
      <c r="M339" s="15" t="inlineStr">
        <is>
          <t>Hojas de registro físico de tiempos</t>
        </is>
      </c>
      <c r="N339" s="16" t="n">
        <v>1</v>
      </c>
      <c r="O339" s="17" t="n">
        <v>10</v>
      </c>
      <c r="P339" s="17">
        <f>N339*O339</f>
        <v/>
      </c>
    </row>
    <row r="340">
      <c r="B340" s="18" t="n"/>
      <c r="C340" s="19" t="inlineStr">
        <is>
          <t>SUB TOTAL ACTIVIDAD</t>
        </is>
      </c>
      <c r="D340" s="20">
        <f>SUM(G339:G339)</f>
        <v/>
      </c>
      <c r="E340" s="18" t="n"/>
      <c r="F340" s="18" t="n"/>
      <c r="G340" s="18" t="n"/>
      <c r="H340" s="20">
        <f>SUM(L339:L339)</f>
        <v/>
      </c>
      <c r="I340" s="18" t="n"/>
      <c r="J340" s="18" t="n"/>
      <c r="K340" s="18" t="n"/>
      <c r="L340" s="18" t="n"/>
      <c r="M340" s="20">
        <f>SUM(P339:P339)</f>
        <v/>
      </c>
      <c r="N340" s="18" t="n"/>
      <c r="O340" s="18" t="n"/>
      <c r="P340" s="18" t="n"/>
    </row>
    <row r="341">
      <c r="B341" s="21" t="n"/>
      <c r="C341" s="22" t="inlineStr">
        <is>
          <t>TOTAL ACTIVIDAD</t>
        </is>
      </c>
      <c r="D341" s="23">
        <f>D340+H340+M340</f>
        <v/>
      </c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</row>
    <row r="342">
      <c r="B342" s="24" t="inlineStr">
        <is>
          <t>SUB TOTAL PAQUETE</t>
        </is>
      </c>
      <c r="C342" s="18" t="n"/>
      <c r="D342" s="25">
        <f>SUM(D340)</f>
        <v/>
      </c>
      <c r="E342" s="18" t="n"/>
      <c r="F342" s="18" t="n"/>
      <c r="G342" s="18" t="n"/>
      <c r="H342" s="25">
        <f>SUM(H340)</f>
        <v/>
      </c>
      <c r="I342" s="18" t="n"/>
      <c r="J342" s="18" t="n"/>
      <c r="K342" s="18" t="n"/>
      <c r="L342" s="18" t="n"/>
      <c r="M342" s="25">
        <f>SUM(M340)</f>
        <v/>
      </c>
      <c r="N342" s="18" t="n"/>
      <c r="O342" s="18" t="n"/>
      <c r="P342" s="18" t="n"/>
    </row>
    <row r="343">
      <c r="B343" s="26" t="inlineStr">
        <is>
          <t>TOTAL PAQUETE</t>
        </is>
      </c>
      <c r="C343" s="21" t="n"/>
      <c r="D343" s="27">
        <f>D342+H342+M342</f>
        <v/>
      </c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</row>
    <row r="345" ht="20" customHeight="1">
      <c r="B345" s="3" t="inlineStr">
        <is>
          <t>PAQUETE DE TRABAJO / ENTREGABLE</t>
        </is>
      </c>
      <c r="D345" s="4" t="inlineStr">
        <is>
          <t>EDT 7.5 – Medición Postest Censal (n=125)</t>
        </is>
      </c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>
      <c r="B346" s="6" t="inlineStr">
        <is>
          <t>ACTIVIDAD</t>
        </is>
      </c>
      <c r="C346" s="5" t="n"/>
      <c r="D346" s="6" t="inlineStr">
        <is>
          <t>COSTOS</t>
        </is>
      </c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>
      <c r="B347" s="6" t="inlineStr">
        <is>
          <t>CODIGO</t>
        </is>
      </c>
      <c r="C347" s="6" t="inlineStr">
        <is>
          <t>DESCRIPCION</t>
        </is>
      </c>
      <c r="D347" s="7" t="inlineStr">
        <is>
          <t>RECURSOS HUMANOS</t>
        </is>
      </c>
      <c r="E347" s="8" t="n"/>
      <c r="F347" s="8" t="n"/>
      <c r="G347" s="8" t="n"/>
      <c r="H347" s="9" t="inlineStr">
        <is>
          <t>MAQUINARIA/EQUIPOS/INFRAESTRUCTURA</t>
        </is>
      </c>
      <c r="I347" s="10" t="n"/>
      <c r="J347" s="10" t="n"/>
      <c r="K347" s="10" t="n"/>
      <c r="L347" s="10" t="n"/>
      <c r="M347" s="11" t="inlineStr">
        <is>
          <t>CONSUMIBLES/SERVICIOS</t>
        </is>
      </c>
      <c r="N347" s="12" t="n"/>
      <c r="O347" s="12" t="n"/>
      <c r="P347" s="12" t="n"/>
    </row>
    <row r="348">
      <c r="D348" s="7" t="inlineStr">
        <is>
          <t>Nombre del Recurso</t>
        </is>
      </c>
      <c r="E348" s="7" t="inlineStr">
        <is>
          <t>Numero de Horas</t>
        </is>
      </c>
      <c r="F348" s="7" t="inlineStr">
        <is>
          <t>Costo x Hora</t>
        </is>
      </c>
      <c r="G348" s="7" t="inlineStr">
        <is>
          <t>Costo Total</t>
        </is>
      </c>
      <c r="H348" s="9" t="inlineStr">
        <is>
          <t>Nombre del Recurso</t>
        </is>
      </c>
      <c r="I348" s="9" t="inlineStr">
        <is>
          <t>Cantidad</t>
        </is>
      </c>
      <c r="J348" s="9" t="inlineStr">
        <is>
          <t>Costo x día</t>
        </is>
      </c>
      <c r="K348" s="9" t="inlineStr">
        <is>
          <t>Nro. De días</t>
        </is>
      </c>
      <c r="L348" s="9" t="inlineStr">
        <is>
          <t>Total</t>
        </is>
      </c>
      <c r="M348" s="11" t="inlineStr">
        <is>
          <t>Nombre del Recurso</t>
        </is>
      </c>
      <c r="N348" s="11" t="inlineStr">
        <is>
          <t>Cantidad</t>
        </is>
      </c>
      <c r="O348" s="11" t="inlineStr">
        <is>
          <t>Costo Unitario</t>
        </is>
      </c>
      <c r="P348" s="11" t="inlineStr">
        <is>
          <t>IMPORTE</t>
        </is>
      </c>
    </row>
    <row r="349">
      <c r="B349" s="13" t="inlineStr">
        <is>
          <t>7.5.1</t>
        </is>
      </c>
      <c r="C349" s="14" t="inlineStr">
        <is>
          <t>Recolectar muestra postest censal (n=125 órdenes)</t>
        </is>
      </c>
      <c r="D349" s="15" t="inlineStr">
        <is>
          <t>Gerardo Plasencia (Líder)</t>
        </is>
      </c>
      <c r="E349" s="16" t="n">
        <v>3.75</v>
      </c>
      <c r="F349" s="17" t="n">
        <v>16</v>
      </c>
      <c r="G349" s="17">
        <f>E349*F349</f>
        <v/>
      </c>
      <c r="H349" s="15" t="inlineStr">
        <is>
          <t>Alquiler Laptop auditoría de órdenes</t>
        </is>
      </c>
      <c r="I349" s="16" t="n">
        <v>1</v>
      </c>
      <c r="J349" s="17" t="n">
        <v>5</v>
      </c>
      <c r="K349" s="16" t="n">
        <v>2</v>
      </c>
      <c r="L349" s="17">
        <f>I349*J349*K349</f>
        <v/>
      </c>
      <c r="M349" s="15" t="inlineStr">
        <is>
          <t>Conectividad y energía eléctrica</t>
        </is>
      </c>
      <c r="N349" s="16" t="n">
        <v>1</v>
      </c>
      <c r="O349" s="17" t="n">
        <v>10</v>
      </c>
      <c r="P349" s="17">
        <f>N349*O349</f>
        <v/>
      </c>
    </row>
    <row r="350">
      <c r="B350" s="18" t="n"/>
      <c r="C350" s="19" t="inlineStr">
        <is>
          <t>SUB TOTAL ACTIVIDAD</t>
        </is>
      </c>
      <c r="D350" s="20">
        <f>SUM(G349:G349)</f>
        <v/>
      </c>
      <c r="E350" s="18" t="n"/>
      <c r="F350" s="18" t="n"/>
      <c r="G350" s="18" t="n"/>
      <c r="H350" s="20">
        <f>SUM(L349:L349)</f>
        <v/>
      </c>
      <c r="I350" s="18" t="n"/>
      <c r="J350" s="18" t="n"/>
      <c r="K350" s="18" t="n"/>
      <c r="L350" s="18" t="n"/>
      <c r="M350" s="20">
        <f>SUM(P349:P349)</f>
        <v/>
      </c>
      <c r="N350" s="18" t="n"/>
      <c r="O350" s="18" t="n"/>
      <c r="P350" s="18" t="n"/>
    </row>
    <row r="351">
      <c r="B351" s="21" t="n"/>
      <c r="C351" s="22" t="inlineStr">
        <is>
          <t>TOTAL ACTIVIDAD</t>
        </is>
      </c>
      <c r="D351" s="23">
        <f>D350+H350+M350</f>
        <v/>
      </c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</row>
    <row r="352">
      <c r="B352" s="24" t="inlineStr">
        <is>
          <t>SUB TOTAL PAQUETE</t>
        </is>
      </c>
      <c r="C352" s="18" t="n"/>
      <c r="D352" s="25">
        <f>SUM(D350)</f>
        <v/>
      </c>
      <c r="E352" s="18" t="n"/>
      <c r="F352" s="18" t="n"/>
      <c r="G352" s="18" t="n"/>
      <c r="H352" s="25">
        <f>SUM(H350)</f>
        <v/>
      </c>
      <c r="I352" s="18" t="n"/>
      <c r="J352" s="18" t="n"/>
      <c r="K352" s="18" t="n"/>
      <c r="L352" s="18" t="n"/>
      <c r="M352" s="25">
        <f>SUM(M350)</f>
        <v/>
      </c>
      <c r="N352" s="18" t="n"/>
      <c r="O352" s="18" t="n"/>
      <c r="P352" s="18" t="n"/>
    </row>
    <row r="353">
      <c r="B353" s="26" t="inlineStr">
        <is>
          <t>TOTAL PAQUETE</t>
        </is>
      </c>
      <c r="C353" s="21" t="n"/>
      <c r="D353" s="27">
        <f>D352+H352+M352</f>
        <v/>
      </c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</row>
    <row r="355" ht="20" customHeight="1">
      <c r="B355" s="3" t="inlineStr">
        <is>
          <t>PAQUETE DE TRABAJO / ENTREGABLE</t>
        </is>
      </c>
      <c r="D355" s="4" t="inlineStr">
        <is>
          <t>EDT 7.6 – Informe de Resultados Empresariales</t>
        </is>
      </c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>
      <c r="B356" s="6" t="inlineStr">
        <is>
          <t>ACTIVIDAD</t>
        </is>
      </c>
      <c r="C356" s="5" t="n"/>
      <c r="D356" s="6" t="inlineStr">
        <is>
          <t>COSTOS</t>
        </is>
      </c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>
      <c r="B357" s="6" t="inlineStr">
        <is>
          <t>CODIGO</t>
        </is>
      </c>
      <c r="C357" s="6" t="inlineStr">
        <is>
          <t>DESCRIPCION</t>
        </is>
      </c>
      <c r="D357" s="7" t="inlineStr">
        <is>
          <t>RECURSOS HUMANOS</t>
        </is>
      </c>
      <c r="E357" s="8" t="n"/>
      <c r="F357" s="8" t="n"/>
      <c r="G357" s="8" t="n"/>
      <c r="H357" s="9" t="inlineStr">
        <is>
          <t>MAQUINARIA/EQUIPOS/INFRAESTRUCTURA</t>
        </is>
      </c>
      <c r="I357" s="10" t="n"/>
      <c r="J357" s="10" t="n"/>
      <c r="K357" s="10" t="n"/>
      <c r="L357" s="10" t="n"/>
      <c r="M357" s="11" t="inlineStr">
        <is>
          <t>CONSUMIBLES/SERVICIOS</t>
        </is>
      </c>
      <c r="N357" s="12" t="n"/>
      <c r="O357" s="12" t="n"/>
      <c r="P357" s="12" t="n"/>
    </row>
    <row r="358">
      <c r="D358" s="7" t="inlineStr">
        <is>
          <t>Nombre del Recurso</t>
        </is>
      </c>
      <c r="E358" s="7" t="inlineStr">
        <is>
          <t>Numero de Horas</t>
        </is>
      </c>
      <c r="F358" s="7" t="inlineStr">
        <is>
          <t>Costo x Hora</t>
        </is>
      </c>
      <c r="G358" s="7" t="inlineStr">
        <is>
          <t>Costo Total</t>
        </is>
      </c>
      <c r="H358" s="9" t="inlineStr">
        <is>
          <t>Nombre del Recurso</t>
        </is>
      </c>
      <c r="I358" s="9" t="inlineStr">
        <is>
          <t>Cantidad</t>
        </is>
      </c>
      <c r="J358" s="9" t="inlineStr">
        <is>
          <t>Costo x día</t>
        </is>
      </c>
      <c r="K358" s="9" t="inlineStr">
        <is>
          <t>Nro. De días</t>
        </is>
      </c>
      <c r="L358" s="9" t="inlineStr">
        <is>
          <t>Total</t>
        </is>
      </c>
      <c r="M358" s="11" t="inlineStr">
        <is>
          <t>Nombre del Recurso</t>
        </is>
      </c>
      <c r="N358" s="11" t="inlineStr">
        <is>
          <t>Cantidad</t>
        </is>
      </c>
      <c r="O358" s="11" t="inlineStr">
        <is>
          <t>Costo Unitario</t>
        </is>
      </c>
      <c r="P358" s="11" t="inlineStr">
        <is>
          <t>IMPORTE</t>
        </is>
      </c>
    </row>
    <row r="359">
      <c r="B359" s="13" t="inlineStr">
        <is>
          <t>7.6.1</t>
        </is>
      </c>
      <c r="C359" s="14" t="inlineStr">
        <is>
          <t>Elaborar el informe de resultados estadísticos</t>
        </is>
      </c>
      <c r="D359" s="15" t="inlineStr">
        <is>
          <t>Diego Rodríguez (Backend)</t>
        </is>
      </c>
      <c r="E359" s="16" t="n">
        <v>2.5</v>
      </c>
      <c r="F359" s="17" t="n">
        <v>16</v>
      </c>
      <c r="G359" s="17">
        <f>E359*F359</f>
        <v/>
      </c>
      <c r="H359" s="15" t="inlineStr">
        <is>
          <t>Alquiler Laptop procesamiento SPSS/Python</t>
        </is>
      </c>
      <c r="I359" s="16" t="n">
        <v>1</v>
      </c>
      <c r="J359" s="17" t="n">
        <v>5</v>
      </c>
      <c r="K359" s="16" t="n">
        <v>2</v>
      </c>
      <c r="L359" s="17">
        <f>I359*J359*K359</f>
        <v/>
      </c>
      <c r="M359" s="15" t="inlineStr">
        <is>
          <t>Energía eléctrica e internet</t>
        </is>
      </c>
      <c r="N359" s="16" t="n">
        <v>1</v>
      </c>
      <c r="O359" s="17" t="n">
        <v>10</v>
      </c>
      <c r="P359" s="17">
        <f>N359*O359</f>
        <v/>
      </c>
    </row>
    <row r="360">
      <c r="B360" s="18" t="n"/>
      <c r="C360" s="19" t="inlineStr">
        <is>
          <t>SUB TOTAL ACTIVIDAD</t>
        </is>
      </c>
      <c r="D360" s="20">
        <f>SUM(G359:G359)</f>
        <v/>
      </c>
      <c r="E360" s="18" t="n"/>
      <c r="F360" s="18" t="n"/>
      <c r="G360" s="18" t="n"/>
      <c r="H360" s="20">
        <f>SUM(L359:L359)</f>
        <v/>
      </c>
      <c r="I360" s="18" t="n"/>
      <c r="J360" s="18" t="n"/>
      <c r="K360" s="18" t="n"/>
      <c r="L360" s="18" t="n"/>
      <c r="M360" s="20">
        <f>SUM(P359:P359)</f>
        <v/>
      </c>
      <c r="N360" s="18" t="n"/>
      <c r="O360" s="18" t="n"/>
      <c r="P360" s="18" t="n"/>
    </row>
    <row r="361">
      <c r="B361" s="21" t="n"/>
      <c r="C361" s="22" t="inlineStr">
        <is>
          <t>TOTAL ACTIVIDAD</t>
        </is>
      </c>
      <c r="D361" s="23">
        <f>D360+H360+M360</f>
        <v/>
      </c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</row>
    <row r="362">
      <c r="B362" s="24" t="inlineStr">
        <is>
          <t>SUB TOTAL PAQUETE</t>
        </is>
      </c>
      <c r="C362" s="18" t="n"/>
      <c r="D362" s="25">
        <f>SUM(D360)</f>
        <v/>
      </c>
      <c r="E362" s="18" t="n"/>
      <c r="F362" s="18" t="n"/>
      <c r="G362" s="18" t="n"/>
      <c r="H362" s="25">
        <f>SUM(H360)</f>
        <v/>
      </c>
      <c r="I362" s="18" t="n"/>
      <c r="J362" s="18" t="n"/>
      <c r="K362" s="18" t="n"/>
      <c r="L362" s="18" t="n"/>
      <c r="M362" s="25">
        <f>SUM(M360)</f>
        <v/>
      </c>
      <c r="N362" s="18" t="n"/>
      <c r="O362" s="18" t="n"/>
      <c r="P362" s="18" t="n"/>
    </row>
    <row r="363">
      <c r="B363" s="26" t="inlineStr">
        <is>
          <t>TOTAL PAQUETE</t>
        </is>
      </c>
      <c r="C363" s="21" t="n"/>
      <c r="D363" s="27">
        <f>D362+H362+M362</f>
        <v/>
      </c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</row>
    <row r="365" ht="24" customHeight="1">
      <c r="B365" s="1" t="inlineStr">
        <is>
          <t>FASE 8.0: CIERRE METODOLÓGICO Y PRODUCCIÓN CIENTÍFICA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 ht="20" customHeight="1">
      <c r="B366" s="3" t="inlineStr">
        <is>
          <t>PAQUETE DE TRABAJO / ENTREGABLE</t>
        </is>
      </c>
      <c r="D366" s="4" t="inlineStr">
        <is>
          <t>EDT 8.1 – Inferencia Estadística y Contraste de Hipótesis</t>
        </is>
      </c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>
      <c r="B367" s="6" t="inlineStr">
        <is>
          <t>ACTIVIDAD</t>
        </is>
      </c>
      <c r="C367" s="5" t="n"/>
      <c r="D367" s="6" t="inlineStr">
        <is>
          <t>COSTOS</t>
        </is>
      </c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>
      <c r="B368" s="6" t="inlineStr">
        <is>
          <t>CODIGO</t>
        </is>
      </c>
      <c r="C368" s="6" t="inlineStr">
        <is>
          <t>DESCRIPCION</t>
        </is>
      </c>
      <c r="D368" s="7" t="inlineStr">
        <is>
          <t>RECURSOS HUMANOS</t>
        </is>
      </c>
      <c r="E368" s="8" t="n"/>
      <c r="F368" s="8" t="n"/>
      <c r="G368" s="8" t="n"/>
      <c r="H368" s="9" t="inlineStr">
        <is>
          <t>MAQUINARIA/EQUIPOS/INFRAESTRUCTURA</t>
        </is>
      </c>
      <c r="I368" s="10" t="n"/>
      <c r="J368" s="10" t="n"/>
      <c r="K368" s="10" t="n"/>
      <c r="L368" s="10" t="n"/>
      <c r="M368" s="11" t="inlineStr">
        <is>
          <t>CONSUMIBLES/SERVICIOS</t>
        </is>
      </c>
      <c r="N368" s="12" t="n"/>
      <c r="O368" s="12" t="n"/>
      <c r="P368" s="12" t="n"/>
    </row>
    <row r="369">
      <c r="D369" s="7" t="inlineStr">
        <is>
          <t>Nombre del Recurso</t>
        </is>
      </c>
      <c r="E369" s="7" t="inlineStr">
        <is>
          <t>Numero de Horas</t>
        </is>
      </c>
      <c r="F369" s="7" t="inlineStr">
        <is>
          <t>Costo x Hora</t>
        </is>
      </c>
      <c r="G369" s="7" t="inlineStr">
        <is>
          <t>Costo Total</t>
        </is>
      </c>
      <c r="H369" s="9" t="inlineStr">
        <is>
          <t>Nombre del Recurso</t>
        </is>
      </c>
      <c r="I369" s="9" t="inlineStr">
        <is>
          <t>Cantidad</t>
        </is>
      </c>
      <c r="J369" s="9" t="inlineStr">
        <is>
          <t>Costo x día</t>
        </is>
      </c>
      <c r="K369" s="9" t="inlineStr">
        <is>
          <t>Nro. De días</t>
        </is>
      </c>
      <c r="L369" s="9" t="inlineStr">
        <is>
          <t>Total</t>
        </is>
      </c>
      <c r="M369" s="11" t="inlineStr">
        <is>
          <t>Nombre del Recurso</t>
        </is>
      </c>
      <c r="N369" s="11" t="inlineStr">
        <is>
          <t>Cantidad</t>
        </is>
      </c>
      <c r="O369" s="11" t="inlineStr">
        <is>
          <t>Costo Unitario</t>
        </is>
      </c>
      <c r="P369" s="11" t="inlineStr">
        <is>
          <t>IMPORTE</t>
        </is>
      </c>
    </row>
    <row r="370">
      <c r="B370" s="13" t="inlineStr">
        <is>
          <t>8.1.1</t>
        </is>
      </c>
      <c r="C370" s="14" t="inlineStr">
        <is>
          <t>Contrastar las hipótesis estadísticas (t-Student/Wilcoxon)</t>
        </is>
      </c>
      <c r="D370" s="15" t="inlineStr">
        <is>
          <t>Diego Rodríguez (Backend)</t>
        </is>
      </c>
      <c r="E370" s="16" t="n">
        <v>3</v>
      </c>
      <c r="F370" s="17" t="n">
        <v>16</v>
      </c>
      <c r="G370" s="17">
        <f>E370*F370</f>
        <v/>
      </c>
      <c r="H370" s="15" t="inlineStr">
        <is>
          <t>Alquiler Laptop bioestadística</t>
        </is>
      </c>
      <c r="I370" s="16" t="n">
        <v>1</v>
      </c>
      <c r="J370" s="17" t="n">
        <v>5</v>
      </c>
      <c r="K370" s="16" t="n">
        <v>2</v>
      </c>
      <c r="L370" s="17">
        <f>I370*J370*K370</f>
        <v/>
      </c>
      <c r="M370" s="15" t="inlineStr">
        <is>
          <t>Energía eléctrica e internet</t>
        </is>
      </c>
      <c r="N370" s="16" t="n">
        <v>1</v>
      </c>
      <c r="O370" s="17" t="n">
        <v>12</v>
      </c>
      <c r="P370" s="17">
        <f>N370*O370</f>
        <v/>
      </c>
    </row>
    <row r="371">
      <c r="B371" s="18" t="n"/>
      <c r="C371" s="19" t="inlineStr">
        <is>
          <t>SUB TOTAL ACTIVIDAD</t>
        </is>
      </c>
      <c r="D371" s="20">
        <f>SUM(G370:G370)</f>
        <v/>
      </c>
      <c r="E371" s="18" t="n"/>
      <c r="F371" s="18" t="n"/>
      <c r="G371" s="18" t="n"/>
      <c r="H371" s="20">
        <f>SUM(L370:L370)</f>
        <v/>
      </c>
      <c r="I371" s="18" t="n"/>
      <c r="J371" s="18" t="n"/>
      <c r="K371" s="18" t="n"/>
      <c r="L371" s="18" t="n"/>
      <c r="M371" s="20">
        <f>SUM(P370:P370)</f>
        <v/>
      </c>
      <c r="N371" s="18" t="n"/>
      <c r="O371" s="18" t="n"/>
      <c r="P371" s="18" t="n"/>
    </row>
    <row r="372">
      <c r="B372" s="21" t="n"/>
      <c r="C372" s="22" t="inlineStr">
        <is>
          <t>TOTAL ACTIVIDAD</t>
        </is>
      </c>
      <c r="D372" s="23">
        <f>D371+H371+M371</f>
        <v/>
      </c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</row>
    <row r="373">
      <c r="B373" s="24" t="inlineStr">
        <is>
          <t>SUB TOTAL PAQUETE</t>
        </is>
      </c>
      <c r="C373" s="18" t="n"/>
      <c r="D373" s="25">
        <f>SUM(D371)</f>
        <v/>
      </c>
      <c r="E373" s="18" t="n"/>
      <c r="F373" s="18" t="n"/>
      <c r="G373" s="18" t="n"/>
      <c r="H373" s="25">
        <f>SUM(H371)</f>
        <v/>
      </c>
      <c r="I373" s="18" t="n"/>
      <c r="J373" s="18" t="n"/>
      <c r="K373" s="18" t="n"/>
      <c r="L373" s="18" t="n"/>
      <c r="M373" s="25">
        <f>SUM(M371)</f>
        <v/>
      </c>
      <c r="N373" s="18" t="n"/>
      <c r="O373" s="18" t="n"/>
      <c r="P373" s="18" t="n"/>
    </row>
    <row r="374">
      <c r="B374" s="26" t="inlineStr">
        <is>
          <t>TOTAL PAQUETE</t>
        </is>
      </c>
      <c r="C374" s="21" t="n"/>
      <c r="D374" s="27">
        <f>D373+H373+M373</f>
        <v/>
      </c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</row>
    <row r="376" ht="20" customHeight="1">
      <c r="B376" s="3" t="inlineStr">
        <is>
          <t>PAQUETE DE TRABAJO / ENTREGABLE</t>
        </is>
      </c>
      <c r="D376" s="4" t="inlineStr">
        <is>
          <t>EDT 8.2 – Artículo Científico (Paper IEEE)</t>
        </is>
      </c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>
      <c r="B377" s="6" t="inlineStr">
        <is>
          <t>ACTIVIDAD</t>
        </is>
      </c>
      <c r="C377" s="5" t="n"/>
      <c r="D377" s="6" t="inlineStr">
        <is>
          <t>COSTOS</t>
        </is>
      </c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>
      <c r="B378" s="6" t="inlineStr">
        <is>
          <t>CODIGO</t>
        </is>
      </c>
      <c r="C378" s="6" t="inlineStr">
        <is>
          <t>DESCRIPCION</t>
        </is>
      </c>
      <c r="D378" s="7" t="inlineStr">
        <is>
          <t>RECURSOS HUMANOS</t>
        </is>
      </c>
      <c r="E378" s="8" t="n"/>
      <c r="F378" s="8" t="n"/>
      <c r="G378" s="8" t="n"/>
      <c r="H378" s="9" t="inlineStr">
        <is>
          <t>MAQUINARIA/EQUIPOS/INFRAESTRUCTURA</t>
        </is>
      </c>
      <c r="I378" s="10" t="n"/>
      <c r="J378" s="10" t="n"/>
      <c r="K378" s="10" t="n"/>
      <c r="L378" s="10" t="n"/>
      <c r="M378" s="11" t="inlineStr">
        <is>
          <t>CONSUMIBLES/SERVICIOS</t>
        </is>
      </c>
      <c r="N378" s="12" t="n"/>
      <c r="O378" s="12" t="n"/>
      <c r="P378" s="12" t="n"/>
    </row>
    <row r="379">
      <c r="D379" s="7" t="inlineStr">
        <is>
          <t>Nombre del Recurso</t>
        </is>
      </c>
      <c r="E379" s="7" t="inlineStr">
        <is>
          <t>Numero de Horas</t>
        </is>
      </c>
      <c r="F379" s="7" t="inlineStr">
        <is>
          <t>Costo x Hora</t>
        </is>
      </c>
      <c r="G379" s="7" t="inlineStr">
        <is>
          <t>Costo Total</t>
        </is>
      </c>
      <c r="H379" s="9" t="inlineStr">
        <is>
          <t>Nombre del Recurso</t>
        </is>
      </c>
      <c r="I379" s="9" t="inlineStr">
        <is>
          <t>Cantidad</t>
        </is>
      </c>
      <c r="J379" s="9" t="inlineStr">
        <is>
          <t>Costo x día</t>
        </is>
      </c>
      <c r="K379" s="9" t="inlineStr">
        <is>
          <t>Nro. De días</t>
        </is>
      </c>
      <c r="L379" s="9" t="inlineStr">
        <is>
          <t>Total</t>
        </is>
      </c>
      <c r="M379" s="11" t="inlineStr">
        <is>
          <t>Nombre del Recurso</t>
        </is>
      </c>
      <c r="N379" s="11" t="inlineStr">
        <is>
          <t>Cantidad</t>
        </is>
      </c>
      <c r="O379" s="11" t="inlineStr">
        <is>
          <t>Costo Unitario</t>
        </is>
      </c>
      <c r="P379" s="11" t="inlineStr">
        <is>
          <t>IMPORTE</t>
        </is>
      </c>
    </row>
    <row r="380">
      <c r="B380" s="13" t="inlineStr">
        <is>
          <t>8.2.1</t>
        </is>
      </c>
      <c r="C380" s="14" t="inlineStr">
        <is>
          <t>Redactar el artículo científico Paper IEEE</t>
        </is>
      </c>
      <c r="D380" s="15" t="inlineStr">
        <is>
          <t>Gerardo Plasencia (Líder)</t>
        </is>
      </c>
      <c r="E380" s="16" t="n">
        <v>2.5</v>
      </c>
      <c r="F380" s="17" t="n">
        <v>16</v>
      </c>
      <c r="G380" s="17">
        <f>E380*F380</f>
        <v/>
      </c>
      <c r="H380" s="15" t="inlineStr">
        <is>
          <t>Alquiler Laptop LaTeX/Overleaf</t>
        </is>
      </c>
      <c r="I380" s="16" t="n">
        <v>1</v>
      </c>
      <c r="J380" s="17" t="n">
        <v>5</v>
      </c>
      <c r="K380" s="16" t="n">
        <v>2</v>
      </c>
      <c r="L380" s="17">
        <f>I380*J380*K380</f>
        <v/>
      </c>
      <c r="M380" s="15" t="inlineStr">
        <is>
          <t>Energía eléctrica e internet</t>
        </is>
      </c>
      <c r="N380" s="16" t="n">
        <v>1</v>
      </c>
      <c r="O380" s="17" t="n">
        <v>10</v>
      </c>
      <c r="P380" s="17">
        <f>N380*O380</f>
        <v/>
      </c>
    </row>
    <row r="381">
      <c r="B381" s="18" t="n"/>
      <c r="C381" s="19" t="inlineStr">
        <is>
          <t>SUB TOTAL ACTIVIDAD</t>
        </is>
      </c>
      <c r="D381" s="20">
        <f>SUM(G380:G380)</f>
        <v/>
      </c>
      <c r="E381" s="18" t="n"/>
      <c r="F381" s="18" t="n"/>
      <c r="G381" s="18" t="n"/>
      <c r="H381" s="20">
        <f>SUM(L380:L380)</f>
        <v/>
      </c>
      <c r="I381" s="18" t="n"/>
      <c r="J381" s="18" t="n"/>
      <c r="K381" s="18" t="n"/>
      <c r="L381" s="18" t="n"/>
      <c r="M381" s="20">
        <f>SUM(P380:P380)</f>
        <v/>
      </c>
      <c r="N381" s="18" t="n"/>
      <c r="O381" s="18" t="n"/>
      <c r="P381" s="18" t="n"/>
    </row>
    <row r="382">
      <c r="B382" s="21" t="n"/>
      <c r="C382" s="22" t="inlineStr">
        <is>
          <t>TOTAL ACTIVIDAD</t>
        </is>
      </c>
      <c r="D382" s="23">
        <f>D381+H381+M381</f>
        <v/>
      </c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</row>
    <row r="383">
      <c r="B383" s="24" t="inlineStr">
        <is>
          <t>SUB TOTAL PAQUETE</t>
        </is>
      </c>
      <c r="C383" s="18" t="n"/>
      <c r="D383" s="25">
        <f>SUM(D381)</f>
        <v/>
      </c>
      <c r="E383" s="18" t="n"/>
      <c r="F383" s="18" t="n"/>
      <c r="G383" s="18" t="n"/>
      <c r="H383" s="25">
        <f>SUM(H381)</f>
        <v/>
      </c>
      <c r="I383" s="18" t="n"/>
      <c r="J383" s="18" t="n"/>
      <c r="K383" s="18" t="n"/>
      <c r="L383" s="18" t="n"/>
      <c r="M383" s="25">
        <f>SUM(M381)</f>
        <v/>
      </c>
      <c r="N383" s="18" t="n"/>
      <c r="O383" s="18" t="n"/>
      <c r="P383" s="18" t="n"/>
    </row>
    <row r="384">
      <c r="B384" s="26" t="inlineStr">
        <is>
          <t>TOTAL PAQUETE</t>
        </is>
      </c>
      <c r="C384" s="21" t="n"/>
      <c r="D384" s="27">
        <f>D383+H383+M383</f>
        <v/>
      </c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</row>
    <row r="386" ht="20" customHeight="1">
      <c r="B386" s="3" t="inlineStr">
        <is>
          <t>PAQUETE DE TRABAJO / ENTREGABLE</t>
        </is>
      </c>
      <c r="D386" s="4" t="inlineStr">
        <is>
          <t>EDT 8.3 – Memoria Técnica del Software</t>
        </is>
      </c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>
      <c r="B387" s="6" t="inlineStr">
        <is>
          <t>ACTIVIDAD</t>
        </is>
      </c>
      <c r="C387" s="5" t="n"/>
      <c r="D387" s="6" t="inlineStr">
        <is>
          <t>COSTOS</t>
        </is>
      </c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>
      <c r="B388" s="6" t="inlineStr">
        <is>
          <t>CODIGO</t>
        </is>
      </c>
      <c r="C388" s="6" t="inlineStr">
        <is>
          <t>DESCRIPCION</t>
        </is>
      </c>
      <c r="D388" s="7" t="inlineStr">
        <is>
          <t>RECURSOS HUMANOS</t>
        </is>
      </c>
      <c r="E388" s="8" t="n"/>
      <c r="F388" s="8" t="n"/>
      <c r="G388" s="8" t="n"/>
      <c r="H388" s="9" t="inlineStr">
        <is>
          <t>MAQUINARIA/EQUIPOS/INFRAESTRUCTURA</t>
        </is>
      </c>
      <c r="I388" s="10" t="n"/>
      <c r="J388" s="10" t="n"/>
      <c r="K388" s="10" t="n"/>
      <c r="L388" s="10" t="n"/>
      <c r="M388" s="11" t="inlineStr">
        <is>
          <t>CONSUMIBLES/SERVICIOS</t>
        </is>
      </c>
      <c r="N388" s="12" t="n"/>
      <c r="O388" s="12" t="n"/>
      <c r="P388" s="12" t="n"/>
    </row>
    <row r="389">
      <c r="D389" s="7" t="inlineStr">
        <is>
          <t>Nombre del Recurso</t>
        </is>
      </c>
      <c r="E389" s="7" t="inlineStr">
        <is>
          <t>Numero de Horas</t>
        </is>
      </c>
      <c r="F389" s="7" t="inlineStr">
        <is>
          <t>Costo x Hora</t>
        </is>
      </c>
      <c r="G389" s="7" t="inlineStr">
        <is>
          <t>Costo Total</t>
        </is>
      </c>
      <c r="H389" s="9" t="inlineStr">
        <is>
          <t>Nombre del Recurso</t>
        </is>
      </c>
      <c r="I389" s="9" t="inlineStr">
        <is>
          <t>Cantidad</t>
        </is>
      </c>
      <c r="J389" s="9" t="inlineStr">
        <is>
          <t>Costo x día</t>
        </is>
      </c>
      <c r="K389" s="9" t="inlineStr">
        <is>
          <t>Nro. De días</t>
        </is>
      </c>
      <c r="L389" s="9" t="inlineStr">
        <is>
          <t>Total</t>
        </is>
      </c>
      <c r="M389" s="11" t="inlineStr">
        <is>
          <t>Nombre del Recurso</t>
        </is>
      </c>
      <c r="N389" s="11" t="inlineStr">
        <is>
          <t>Cantidad</t>
        </is>
      </c>
      <c r="O389" s="11" t="inlineStr">
        <is>
          <t>Costo Unitario</t>
        </is>
      </c>
      <c r="P389" s="11" t="inlineStr">
        <is>
          <t>IMPORTE</t>
        </is>
      </c>
    </row>
    <row r="390">
      <c r="B390" s="13" t="inlineStr">
        <is>
          <t>8.3.1</t>
        </is>
      </c>
      <c r="C390" s="14" t="inlineStr">
        <is>
          <t>Consolidar la memoria técnica del software</t>
        </is>
      </c>
      <c r="D390" s="15" t="inlineStr">
        <is>
          <t>Diego Rodríguez (Backend)</t>
        </is>
      </c>
      <c r="E390" s="16" t="n">
        <v>2.5</v>
      </c>
      <c r="F390" s="17" t="n">
        <v>16</v>
      </c>
      <c r="G390" s="17">
        <f>E390*F390</f>
        <v/>
      </c>
      <c r="H390" s="15" t="inlineStr">
        <is>
          <t>Alquiler Laptop documentación técnica</t>
        </is>
      </c>
      <c r="I390" s="16" t="n">
        <v>1</v>
      </c>
      <c r="J390" s="17" t="n">
        <v>5</v>
      </c>
      <c r="K390" s="16" t="n">
        <v>2</v>
      </c>
      <c r="L390" s="17">
        <f>I390*J390*K390</f>
        <v/>
      </c>
      <c r="M390" s="15" t="inlineStr">
        <is>
          <t>Energía eléctrica e internet</t>
        </is>
      </c>
      <c r="N390" s="16" t="n">
        <v>1</v>
      </c>
      <c r="O390" s="17" t="n">
        <v>10</v>
      </c>
      <c r="P390" s="17">
        <f>N390*O390</f>
        <v/>
      </c>
    </row>
    <row r="391">
      <c r="B391" s="18" t="n"/>
      <c r="C391" s="19" t="inlineStr">
        <is>
          <t>SUB TOTAL ACTIVIDAD</t>
        </is>
      </c>
      <c r="D391" s="20">
        <f>SUM(G390:G390)</f>
        <v/>
      </c>
      <c r="E391" s="18" t="n"/>
      <c r="F391" s="18" t="n"/>
      <c r="G391" s="18" t="n"/>
      <c r="H391" s="20">
        <f>SUM(L390:L390)</f>
        <v/>
      </c>
      <c r="I391" s="18" t="n"/>
      <c r="J391" s="18" t="n"/>
      <c r="K391" s="18" t="n"/>
      <c r="L391" s="18" t="n"/>
      <c r="M391" s="20">
        <f>SUM(P390:P390)</f>
        <v/>
      </c>
      <c r="N391" s="18" t="n"/>
      <c r="O391" s="18" t="n"/>
      <c r="P391" s="18" t="n"/>
    </row>
    <row r="392">
      <c r="B392" s="21" t="n"/>
      <c r="C392" s="22" t="inlineStr">
        <is>
          <t>TOTAL ACTIVIDAD</t>
        </is>
      </c>
      <c r="D392" s="23">
        <f>D391+H391+M391</f>
        <v/>
      </c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</row>
    <row r="393">
      <c r="B393" s="24" t="inlineStr">
        <is>
          <t>SUB TOTAL PAQUETE</t>
        </is>
      </c>
      <c r="C393" s="18" t="n"/>
      <c r="D393" s="25">
        <f>SUM(D391)</f>
        <v/>
      </c>
      <c r="E393" s="18" t="n"/>
      <c r="F393" s="18" t="n"/>
      <c r="G393" s="18" t="n"/>
      <c r="H393" s="25">
        <f>SUM(H391)</f>
        <v/>
      </c>
      <c r="I393" s="18" t="n"/>
      <c r="J393" s="18" t="n"/>
      <c r="K393" s="18" t="n"/>
      <c r="L393" s="18" t="n"/>
      <c r="M393" s="25">
        <f>SUM(M391)</f>
        <v/>
      </c>
      <c r="N393" s="18" t="n"/>
      <c r="O393" s="18" t="n"/>
      <c r="P393" s="18" t="n"/>
    </row>
    <row r="394">
      <c r="B394" s="26" t="inlineStr">
        <is>
          <t>TOTAL PAQUETE</t>
        </is>
      </c>
      <c r="C394" s="21" t="n"/>
      <c r="D394" s="27">
        <f>D393+H393+M393</f>
        <v/>
      </c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</row>
    <row r="396" ht="20" customHeight="1">
      <c r="B396" s="3" t="inlineStr">
        <is>
          <t>PAQUETE DE TRABAJO / ENTREGABLE</t>
        </is>
      </c>
      <c r="D396" s="4" t="inlineStr">
        <is>
          <t>EDT 8.4 – Portafolio Capstone Consolidado</t>
        </is>
      </c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>
      <c r="B397" s="6" t="inlineStr">
        <is>
          <t>ACTIVIDAD</t>
        </is>
      </c>
      <c r="C397" s="5" t="n"/>
      <c r="D397" s="6" t="inlineStr">
        <is>
          <t>COSTOS</t>
        </is>
      </c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>
      <c r="B398" s="6" t="inlineStr">
        <is>
          <t>CODIGO</t>
        </is>
      </c>
      <c r="C398" s="6" t="inlineStr">
        <is>
          <t>DESCRIPCION</t>
        </is>
      </c>
      <c r="D398" s="7" t="inlineStr">
        <is>
          <t>RECURSOS HUMANOS</t>
        </is>
      </c>
      <c r="E398" s="8" t="n"/>
      <c r="F398" s="8" t="n"/>
      <c r="G398" s="8" t="n"/>
      <c r="H398" s="9" t="inlineStr">
        <is>
          <t>MAQUINARIA/EQUIPOS/INFRAESTRUCTURA</t>
        </is>
      </c>
      <c r="I398" s="10" t="n"/>
      <c r="J398" s="10" t="n"/>
      <c r="K398" s="10" t="n"/>
      <c r="L398" s="10" t="n"/>
      <c r="M398" s="11" t="inlineStr">
        <is>
          <t>CONSUMIBLES/SERVICIOS</t>
        </is>
      </c>
      <c r="N398" s="12" t="n"/>
      <c r="O398" s="12" t="n"/>
      <c r="P398" s="12" t="n"/>
    </row>
    <row r="399">
      <c r="D399" s="7" t="inlineStr">
        <is>
          <t>Nombre del Recurso</t>
        </is>
      </c>
      <c r="E399" s="7" t="inlineStr">
        <is>
          <t>Numero de Horas</t>
        </is>
      </c>
      <c r="F399" s="7" t="inlineStr">
        <is>
          <t>Costo x Hora</t>
        </is>
      </c>
      <c r="G399" s="7" t="inlineStr">
        <is>
          <t>Costo Total</t>
        </is>
      </c>
      <c r="H399" s="9" t="inlineStr">
        <is>
          <t>Nombre del Recurso</t>
        </is>
      </c>
      <c r="I399" s="9" t="inlineStr">
        <is>
          <t>Cantidad</t>
        </is>
      </c>
      <c r="J399" s="9" t="inlineStr">
        <is>
          <t>Costo x día</t>
        </is>
      </c>
      <c r="K399" s="9" t="inlineStr">
        <is>
          <t>Nro. De días</t>
        </is>
      </c>
      <c r="L399" s="9" t="inlineStr">
        <is>
          <t>Total</t>
        </is>
      </c>
      <c r="M399" s="11" t="inlineStr">
        <is>
          <t>Nombre del Recurso</t>
        </is>
      </c>
      <c r="N399" s="11" t="inlineStr">
        <is>
          <t>Cantidad</t>
        </is>
      </c>
      <c r="O399" s="11" t="inlineStr">
        <is>
          <t>Costo Unitario</t>
        </is>
      </c>
      <c r="P399" s="11" t="inlineStr">
        <is>
          <t>IMPORTE</t>
        </is>
      </c>
    </row>
    <row r="400">
      <c r="B400" s="13" t="inlineStr">
        <is>
          <t>8.4.1</t>
        </is>
      </c>
      <c r="C400" s="14" t="inlineStr">
        <is>
          <t>Consolidar el portafolio final de entregables</t>
        </is>
      </c>
      <c r="D400" s="15" t="inlineStr">
        <is>
          <t>Estibb Anhuaman (Frontend)</t>
        </is>
      </c>
      <c r="E400" s="16" t="n">
        <v>2.5</v>
      </c>
      <c r="F400" s="17" t="n">
        <v>16</v>
      </c>
      <c r="G400" s="17">
        <f>E400*F400</f>
        <v/>
      </c>
      <c r="H400" s="15" t="inlineStr">
        <is>
          <t>Alquiler Laptop desarrollo</t>
        </is>
      </c>
      <c r="I400" s="16" t="n">
        <v>1</v>
      </c>
      <c r="J400" s="17" t="n">
        <v>5</v>
      </c>
      <c r="K400" s="16" t="n">
        <v>2</v>
      </c>
      <c r="L400" s="17">
        <f>I400*J400*K400</f>
        <v/>
      </c>
      <c r="M400" s="15" t="inlineStr">
        <is>
          <t>Energía eléctrica y encuadernación</t>
        </is>
      </c>
      <c r="N400" s="16" t="n">
        <v>1</v>
      </c>
      <c r="O400" s="17" t="n">
        <v>10</v>
      </c>
      <c r="P400" s="17">
        <f>N400*O400</f>
        <v/>
      </c>
    </row>
    <row r="401">
      <c r="B401" s="18" t="n"/>
      <c r="C401" s="19" t="inlineStr">
        <is>
          <t>SUB TOTAL ACTIVIDAD</t>
        </is>
      </c>
      <c r="D401" s="20">
        <f>SUM(G400:G400)</f>
        <v/>
      </c>
      <c r="E401" s="18" t="n"/>
      <c r="F401" s="18" t="n"/>
      <c r="G401" s="18" t="n"/>
      <c r="H401" s="20">
        <f>SUM(L400:L400)</f>
        <v/>
      </c>
      <c r="I401" s="18" t="n"/>
      <c r="J401" s="18" t="n"/>
      <c r="K401" s="18" t="n"/>
      <c r="L401" s="18" t="n"/>
      <c r="M401" s="20">
        <f>SUM(P400:P400)</f>
        <v/>
      </c>
      <c r="N401" s="18" t="n"/>
      <c r="O401" s="18" t="n"/>
      <c r="P401" s="18" t="n"/>
    </row>
    <row r="402">
      <c r="B402" s="21" t="n"/>
      <c r="C402" s="22" t="inlineStr">
        <is>
          <t>TOTAL ACTIVIDAD</t>
        </is>
      </c>
      <c r="D402" s="23">
        <f>D401+H401+M401</f>
        <v/>
      </c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</row>
    <row r="403">
      <c r="B403" s="24" t="inlineStr">
        <is>
          <t>SUB TOTAL PAQUETE</t>
        </is>
      </c>
      <c r="C403" s="18" t="n"/>
      <c r="D403" s="25">
        <f>SUM(D401)</f>
        <v/>
      </c>
      <c r="E403" s="18" t="n"/>
      <c r="F403" s="18" t="n"/>
      <c r="G403" s="18" t="n"/>
      <c r="H403" s="25">
        <f>SUM(H401)</f>
        <v/>
      </c>
      <c r="I403" s="18" t="n"/>
      <c r="J403" s="18" t="n"/>
      <c r="K403" s="18" t="n"/>
      <c r="L403" s="18" t="n"/>
      <c r="M403" s="25">
        <f>SUM(M401)</f>
        <v/>
      </c>
      <c r="N403" s="18" t="n"/>
      <c r="O403" s="18" t="n"/>
      <c r="P403" s="18" t="n"/>
    </row>
    <row r="404">
      <c r="B404" s="26" t="inlineStr">
        <is>
          <t>TOTAL PAQUETE</t>
        </is>
      </c>
      <c r="C404" s="21" t="n"/>
      <c r="D404" s="27">
        <f>D403+H403+M403</f>
        <v/>
      </c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</row>
    <row r="406" ht="20" customHeight="1">
      <c r="B406" s="3" t="inlineStr">
        <is>
          <t>PAQUETE DE TRABAJO / ENTREGABLE</t>
        </is>
      </c>
      <c r="D406" s="4" t="inlineStr">
        <is>
          <t>EDT 8.5 – Cierre Formal y Sustentación</t>
        </is>
      </c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>
      <c r="B407" s="6" t="inlineStr">
        <is>
          <t>ACTIVIDAD</t>
        </is>
      </c>
      <c r="C407" s="5" t="n"/>
      <c r="D407" s="6" t="inlineStr">
        <is>
          <t>COSTOS</t>
        </is>
      </c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>
      <c r="B408" s="6" t="inlineStr">
        <is>
          <t>CODIGO</t>
        </is>
      </c>
      <c r="C408" s="6" t="inlineStr">
        <is>
          <t>DESCRIPCION</t>
        </is>
      </c>
      <c r="D408" s="7" t="inlineStr">
        <is>
          <t>RECURSOS HUMANOS</t>
        </is>
      </c>
      <c r="E408" s="8" t="n"/>
      <c r="F408" s="8" t="n"/>
      <c r="G408" s="8" t="n"/>
      <c r="H408" s="9" t="inlineStr">
        <is>
          <t>MAQUINARIA/EQUIPOS/INFRAESTRUCTURA</t>
        </is>
      </c>
      <c r="I408" s="10" t="n"/>
      <c r="J408" s="10" t="n"/>
      <c r="K408" s="10" t="n"/>
      <c r="L408" s="10" t="n"/>
      <c r="M408" s="11" t="inlineStr">
        <is>
          <t>CONSUMIBLES/SERVICIOS</t>
        </is>
      </c>
      <c r="N408" s="12" t="n"/>
      <c r="O408" s="12" t="n"/>
      <c r="P408" s="12" t="n"/>
    </row>
    <row r="409">
      <c r="D409" s="7" t="inlineStr">
        <is>
          <t>Nombre del Recurso</t>
        </is>
      </c>
      <c r="E409" s="7" t="inlineStr">
        <is>
          <t>Numero de Horas</t>
        </is>
      </c>
      <c r="F409" s="7" t="inlineStr">
        <is>
          <t>Costo x Hora</t>
        </is>
      </c>
      <c r="G409" s="7" t="inlineStr">
        <is>
          <t>Costo Total</t>
        </is>
      </c>
      <c r="H409" s="9" t="inlineStr">
        <is>
          <t>Nombre del Recurso</t>
        </is>
      </c>
      <c r="I409" s="9" t="inlineStr">
        <is>
          <t>Cantidad</t>
        </is>
      </c>
      <c r="J409" s="9" t="inlineStr">
        <is>
          <t>Costo x día</t>
        </is>
      </c>
      <c r="K409" s="9" t="inlineStr">
        <is>
          <t>Nro. De días</t>
        </is>
      </c>
      <c r="L409" s="9" t="inlineStr">
        <is>
          <t>Total</t>
        </is>
      </c>
      <c r="M409" s="11" t="inlineStr">
        <is>
          <t>Nombre del Recurso</t>
        </is>
      </c>
      <c r="N409" s="11" t="inlineStr">
        <is>
          <t>Cantidad</t>
        </is>
      </c>
      <c r="O409" s="11" t="inlineStr">
        <is>
          <t>Costo Unitario</t>
        </is>
      </c>
      <c r="P409" s="11" t="inlineStr">
        <is>
          <t>IMPORTE</t>
        </is>
      </c>
    </row>
    <row r="410">
      <c r="B410" s="13" t="inlineStr">
        <is>
          <t>8.5.1</t>
        </is>
      </c>
      <c r="C410" s="14" t="inlineStr">
        <is>
          <t>Sustentar el cierre del proyecto ante jurado</t>
        </is>
      </c>
      <c r="D410" s="15" t="inlineStr">
        <is>
          <t>Gerardo Plasencia (Líder)</t>
        </is>
      </c>
      <c r="E410" s="16" t="n">
        <v>2.5</v>
      </c>
      <c r="F410" s="17" t="n">
        <v>16</v>
      </c>
      <c r="G410" s="17">
        <f>E410*F410</f>
        <v/>
      </c>
      <c r="H410" s="15" t="inlineStr">
        <is>
          <t>Alquiler Laptop y proyector</t>
        </is>
      </c>
      <c r="I410" s="16" t="n">
        <v>1</v>
      </c>
      <c r="J410" s="17" t="n">
        <v>5</v>
      </c>
      <c r="K410" s="16" t="n">
        <v>2</v>
      </c>
      <c r="L410" s="17">
        <f>I410*J410*K410</f>
        <v/>
      </c>
      <c r="M410" s="15" t="inlineStr">
        <is>
          <t>Energía y material de sustentación</t>
        </is>
      </c>
      <c r="N410" s="16" t="n">
        <v>1</v>
      </c>
      <c r="O410" s="17" t="n">
        <v>10</v>
      </c>
      <c r="P410" s="17">
        <f>N410*O410</f>
        <v/>
      </c>
    </row>
    <row r="411">
      <c r="B411" s="18" t="n"/>
      <c r="C411" s="19" t="inlineStr">
        <is>
          <t>SUB TOTAL ACTIVIDAD</t>
        </is>
      </c>
      <c r="D411" s="20">
        <f>SUM(G410:G410)</f>
        <v/>
      </c>
      <c r="E411" s="18" t="n"/>
      <c r="F411" s="18" t="n"/>
      <c r="G411" s="18" t="n"/>
      <c r="H411" s="20">
        <f>SUM(L410:L410)</f>
        <v/>
      </c>
      <c r="I411" s="18" t="n"/>
      <c r="J411" s="18" t="n"/>
      <c r="K411" s="18" t="n"/>
      <c r="L411" s="18" t="n"/>
      <c r="M411" s="20">
        <f>SUM(P410:P410)</f>
        <v/>
      </c>
      <c r="N411" s="18" t="n"/>
      <c r="O411" s="18" t="n"/>
      <c r="P411" s="18" t="n"/>
    </row>
    <row r="412">
      <c r="B412" s="21" t="n"/>
      <c r="C412" s="22" t="inlineStr">
        <is>
          <t>TOTAL ACTIVIDAD</t>
        </is>
      </c>
      <c r="D412" s="23">
        <f>D411+H411+M411</f>
        <v/>
      </c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</row>
    <row r="413">
      <c r="B413" s="24" t="inlineStr">
        <is>
          <t>SUB TOTAL PAQUETE</t>
        </is>
      </c>
      <c r="C413" s="18" t="n"/>
      <c r="D413" s="25">
        <f>SUM(D411)</f>
        <v/>
      </c>
      <c r="E413" s="18" t="n"/>
      <c r="F413" s="18" t="n"/>
      <c r="G413" s="18" t="n"/>
      <c r="H413" s="25">
        <f>SUM(H411)</f>
        <v/>
      </c>
      <c r="I413" s="18" t="n"/>
      <c r="J413" s="18" t="n"/>
      <c r="K413" s="18" t="n"/>
      <c r="L413" s="18" t="n"/>
      <c r="M413" s="25">
        <f>SUM(M411)</f>
        <v/>
      </c>
      <c r="N413" s="18" t="n"/>
      <c r="O413" s="18" t="n"/>
      <c r="P413" s="18" t="n"/>
    </row>
    <row r="414">
      <c r="B414" s="26" t="inlineStr">
        <is>
          <t>TOTAL PAQUETE</t>
        </is>
      </c>
      <c r="C414" s="21" t="n"/>
      <c r="D414" s="27">
        <f>D413+H413+M413</f>
        <v/>
      </c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</row>
    <row r="416">
      <c r="B416" s="28" t="inlineStr">
        <is>
          <t>PRESUPUESTO TOTAL VALORIZADO DEL PROYECTO (100% EDT)</t>
        </is>
      </c>
      <c r="C416" s="29" t="n"/>
      <c r="D416" s="30">
        <f>SUM(D16,D30,D49,D77,D89,D99,D109,D121,D131,D141,D151,D161,D179,D196,D209,D236,D249,D259,D274,D290,D307,D323,D333,D343,D353,D363,D374,D384,D394,D404,D414)</f>
        <v/>
      </c>
      <c r="E416" s="29" t="n"/>
      <c r="F416" s="29" t="n"/>
      <c r="G416" s="29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</row>
  </sheetData>
  <mergeCells count="39">
    <mergeCell ref="D181:P181"/>
    <mergeCell ref="D212:P212"/>
    <mergeCell ref="D112:P112"/>
    <mergeCell ref="B2:P2"/>
    <mergeCell ref="D18:P18"/>
    <mergeCell ref="B111:P111"/>
    <mergeCell ref="D3:P3"/>
    <mergeCell ref="D143:P143"/>
    <mergeCell ref="D164:P164"/>
    <mergeCell ref="D51:P51"/>
    <mergeCell ref="D133:P133"/>
    <mergeCell ref="D335:P335"/>
    <mergeCell ref="D123:P123"/>
    <mergeCell ref="D251:P251"/>
    <mergeCell ref="D309:P309"/>
    <mergeCell ref="B211:P211"/>
    <mergeCell ref="D153:P153"/>
    <mergeCell ref="D262:P262"/>
    <mergeCell ref="D345:P345"/>
    <mergeCell ref="D80:P80"/>
    <mergeCell ref="D366:P366"/>
    <mergeCell ref="D276:P276"/>
    <mergeCell ref="B79:P79"/>
    <mergeCell ref="D101:P101"/>
    <mergeCell ref="B163:P163"/>
    <mergeCell ref="D406:P406"/>
    <mergeCell ref="D355:P355"/>
    <mergeCell ref="D198:P198"/>
    <mergeCell ref="D293:P293"/>
    <mergeCell ref="D32:P32"/>
    <mergeCell ref="B261:P261"/>
    <mergeCell ref="D325:P325"/>
    <mergeCell ref="B365:P365"/>
    <mergeCell ref="D396:P396"/>
    <mergeCell ref="B292:P292"/>
    <mergeCell ref="D386:P386"/>
    <mergeCell ref="D91:P91"/>
    <mergeCell ref="D238:P238"/>
    <mergeCell ref="D376:P3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46" customWidth="1" min="4" max="4"/>
    <col width="16" customWidth="1" min="5" max="5"/>
    <col width="16" customWidth="1" min="6" max="6"/>
    <col width="16" customWidth="1" min="7" max="7"/>
    <col width="18" customWidth="1" min="8" max="8"/>
    <col width="14" customWidth="1" min="9" max="9"/>
  </cols>
  <sheetData>
    <row r="2">
      <c r="B2" s="31" t="inlineStr">
        <is>
          <t>RESUMEN CONSOLIDADO DE PRESUPUESTO POR PAQUETE DE TRABAJO (EDT)</t>
        </is>
      </c>
    </row>
    <row r="3">
      <c r="B3" s="32" t="inlineStr">
        <is>
          <t>Proyecto: Sistema Web Transaccional e Inteligencia de Negocios – Impresos Trujillo E.I.R.L.</t>
        </is>
      </c>
    </row>
    <row r="5">
      <c r="B5" s="33" t="inlineStr">
        <is>
          <t>Fase EDT</t>
        </is>
      </c>
      <c r="C5" s="33" t="inlineStr">
        <is>
          <t>Código EDT</t>
        </is>
      </c>
      <c r="D5" s="33" t="inlineStr">
        <is>
          <t>Paquete de Trabajo / Entregable Clave</t>
        </is>
      </c>
      <c r="E5" s="33" t="inlineStr">
        <is>
          <t>Recursos Humanos (RRHH)</t>
        </is>
      </c>
      <c r="F5" s="33" t="inlineStr">
        <is>
          <t>Equipos / Laptops / VPS</t>
        </is>
      </c>
      <c r="G5" s="33" t="inlineStr">
        <is>
          <t>Consumibles / Conectividad</t>
        </is>
      </c>
      <c r="H5" s="33" t="inlineStr">
        <is>
          <t>Presupuesto Total</t>
        </is>
      </c>
      <c r="I5" s="33" t="inlineStr">
        <is>
          <t>% Participación</t>
        </is>
      </c>
    </row>
    <row r="6">
      <c r="B6" s="34" t="inlineStr">
        <is>
          <t>Fase 1.0</t>
        </is>
      </c>
      <c r="C6" s="13" t="inlineStr">
        <is>
          <t>EDT 1.1</t>
        </is>
      </c>
      <c r="D6" s="14" t="inlineStr">
        <is>
          <t>Acta de Constitución y Validación Inicial</t>
        </is>
      </c>
      <c r="E6" s="17" t="n">
        <v>120</v>
      </c>
      <c r="F6" s="17" t="n">
        <v>50</v>
      </c>
      <c r="G6" s="17" t="n">
        <v>30</v>
      </c>
      <c r="H6" s="35">
        <f>SUM(E6:G6)</f>
        <v/>
      </c>
      <c r="I6" s="36">
        <f>H6/$H$45</f>
        <v/>
      </c>
    </row>
    <row r="7">
      <c r="B7" s="34" t="inlineStr">
        <is>
          <t>Fase 1.0</t>
        </is>
      </c>
      <c r="C7" s="13" t="inlineStr">
        <is>
          <t>EDT 1.2</t>
        </is>
      </c>
      <c r="D7" s="14" t="inlineStr">
        <is>
          <t>Business Case y Viabilidad Económica</t>
        </is>
      </c>
      <c r="E7" s="17" t="n">
        <v>120</v>
      </c>
      <c r="F7" s="17" t="n">
        <v>35</v>
      </c>
      <c r="G7" s="17" t="n">
        <v>45</v>
      </c>
      <c r="H7" s="35">
        <f>SUM(E7:G7)</f>
        <v/>
      </c>
      <c r="I7" s="36">
        <f>H7/$H$45</f>
        <v/>
      </c>
    </row>
    <row r="8">
      <c r="B8" s="34" t="inlineStr">
        <is>
          <t>Fase 1.0</t>
        </is>
      </c>
      <c r="C8" s="13" t="inlineStr">
        <is>
          <t>EDT 1.3</t>
        </is>
      </c>
      <c r="D8" s="14" t="inlineStr">
        <is>
          <t>Planificación Inicial del Proyecto (EDT, Gantt, Presupuesto)</t>
        </is>
      </c>
      <c r="E8" s="17" t="n">
        <v>144</v>
      </c>
      <c r="F8" s="17" t="n">
        <v>40</v>
      </c>
      <c r="G8" s="17" t="n">
        <v>36</v>
      </c>
      <c r="H8" s="35">
        <f>SUM(E8:G8)</f>
        <v/>
      </c>
      <c r="I8" s="36">
        <f>H8/$H$45</f>
        <v/>
      </c>
    </row>
    <row r="9">
      <c r="B9" s="34" t="inlineStr">
        <is>
          <t>Fase 1.0</t>
        </is>
      </c>
      <c r="C9" s="13" t="inlineStr">
        <is>
          <t>EDT 1.4</t>
        </is>
      </c>
      <c r="D9" s="14" t="inlineStr">
        <is>
          <t>Planes Subsidiarios de Gestión del Software (Riesgos, Calidad, RACI)</t>
        </is>
      </c>
      <c r="E9" s="17" t="n">
        <v>280</v>
      </c>
      <c r="F9" s="17" t="n">
        <v>70</v>
      </c>
      <c r="G9" s="17" t="n">
        <v>70</v>
      </c>
      <c r="H9" s="35">
        <f>SUM(E9:G9)</f>
        <v/>
      </c>
      <c r="I9" s="36">
        <f>H9/$H$45</f>
        <v/>
      </c>
    </row>
    <row r="10">
      <c r="B10" s="37" t="inlineStr">
        <is>
          <t>SUBTOTAL FASE 1.0</t>
        </is>
      </c>
      <c r="C10" s="38" t="n"/>
      <c r="D10" s="38" t="n"/>
      <c r="E10" s="39">
        <f>SUM(E6:E9)</f>
        <v/>
      </c>
      <c r="F10" s="39">
        <f>SUM(F6:F9)</f>
        <v/>
      </c>
      <c r="G10" s="39">
        <f>SUM(G6:G9)</f>
        <v/>
      </c>
      <c r="H10" s="39">
        <f>SUM(H6:H9)</f>
        <v/>
      </c>
      <c r="I10" s="40">
        <f>H10/$H$45</f>
        <v/>
      </c>
    </row>
    <row r="11">
      <c r="B11" s="34" t="inlineStr">
        <is>
          <t>Fase 2.0</t>
        </is>
      </c>
      <c r="C11" s="13" t="inlineStr">
        <is>
          <t>EDT 2.1</t>
        </is>
      </c>
      <c r="D11" s="14" t="inlineStr">
        <is>
          <t>Requerimientos de Software (SRS IEEE 830: 10 RF, 5 RNF)</t>
        </is>
      </c>
      <c r="E11" s="17" t="n">
        <v>136</v>
      </c>
      <c r="F11" s="17" t="n">
        <v>30</v>
      </c>
      <c r="G11" s="17" t="n">
        <v>24</v>
      </c>
      <c r="H11" s="35">
        <f>SUM(E11:G11)</f>
        <v/>
      </c>
      <c r="I11" s="36">
        <f>H11/$H$45</f>
        <v/>
      </c>
    </row>
    <row r="12">
      <c r="B12" s="34" t="inlineStr">
        <is>
          <t>Fase 2.0</t>
        </is>
      </c>
      <c r="C12" s="13" t="inlineStr">
        <is>
          <t>EDT 2.2</t>
        </is>
      </c>
      <c r="D12" s="14" t="inlineStr">
        <is>
          <t>Estructura de Análisis (Operacionalización VI y VD, 5 Indicadores)</t>
        </is>
      </c>
      <c r="E12" s="17" t="n">
        <v>64</v>
      </c>
      <c r="F12" s="17" t="n">
        <v>20</v>
      </c>
      <c r="G12" s="17" t="n">
        <v>16</v>
      </c>
      <c r="H12" s="35">
        <f>SUM(E12:G12)</f>
        <v/>
      </c>
      <c r="I12" s="36">
        <f>H12/$H$45</f>
        <v/>
      </c>
    </row>
    <row r="13">
      <c r="B13" s="34" t="inlineStr">
        <is>
          <t>Fase 2.0</t>
        </is>
      </c>
      <c r="C13" s="13" t="inlineStr">
        <is>
          <t>EDT 2.3</t>
        </is>
      </c>
      <c r="D13" s="14" t="inlineStr">
        <is>
          <t>Matriz de Consistencia Lógica (5 Problemas, Objetivos e Hipótesis)</t>
        </is>
      </c>
      <c r="E13" s="17" t="n">
        <v>64</v>
      </c>
      <c r="F13" s="17" t="n">
        <v>20</v>
      </c>
      <c r="G13" s="17" t="n">
        <v>16</v>
      </c>
      <c r="H13" s="35">
        <f>SUM(E13:G13)</f>
        <v/>
      </c>
      <c r="I13" s="36">
        <f>H13/$H$45</f>
        <v/>
      </c>
    </row>
    <row r="14">
      <c r="B14" s="37" t="inlineStr">
        <is>
          <t>SUBTOTAL FASE 2.0</t>
        </is>
      </c>
      <c r="C14" s="38" t="n"/>
      <c r="D14" s="38" t="n"/>
      <c r="E14" s="39">
        <f>SUM(E11:E13)</f>
        <v/>
      </c>
      <c r="F14" s="39">
        <f>SUM(F11:F13)</f>
        <v/>
      </c>
      <c r="G14" s="39">
        <f>SUM(G11:G13)</f>
        <v/>
      </c>
      <c r="H14" s="39">
        <f>SUM(H11:H13)</f>
        <v/>
      </c>
      <c r="I14" s="40">
        <f>H14/$H$45</f>
        <v/>
      </c>
    </row>
    <row r="15">
      <c r="B15" s="34" t="inlineStr">
        <is>
          <t>Fase 3.0</t>
        </is>
      </c>
      <c r="C15" s="13" t="inlineStr">
        <is>
          <t>EDT 3.1</t>
        </is>
      </c>
      <c r="D15" s="14" t="inlineStr">
        <is>
          <t>Arquitectura del Sistema (C4 N1 y N2, VPS Propio Docker)</t>
        </is>
      </c>
      <c r="E15" s="17" t="n">
        <v>96</v>
      </c>
      <c r="F15" s="17" t="n">
        <v>30</v>
      </c>
      <c r="G15" s="17" t="n">
        <v>24</v>
      </c>
      <c r="H15" s="35">
        <f>SUM(E15:G15)</f>
        <v/>
      </c>
      <c r="I15" s="36">
        <f>H15/$H$45</f>
        <v/>
      </c>
    </row>
    <row r="16">
      <c r="B16" s="34" t="inlineStr">
        <is>
          <t>Fase 3.0</t>
        </is>
      </c>
      <c r="C16" s="13" t="inlineStr">
        <is>
          <t>EDT 3.2</t>
        </is>
      </c>
      <c r="D16" s="14" t="inlineStr">
        <is>
          <t>Modelado Ágil e Historias de Usuario (Criterios de Aceptación)</t>
        </is>
      </c>
      <c r="E16" s="17" t="n">
        <v>64</v>
      </c>
      <c r="F16" s="17" t="n">
        <v>20</v>
      </c>
      <c r="G16" s="17" t="n">
        <v>16</v>
      </c>
      <c r="H16" s="35">
        <f>SUM(E16:G16)</f>
        <v/>
      </c>
      <c r="I16" s="36">
        <f>H16/$H$45</f>
        <v/>
      </c>
    </row>
    <row r="17">
      <c r="B17" s="34" t="inlineStr">
        <is>
          <t>Fase 3.0</t>
        </is>
      </c>
      <c r="C17" s="13" t="inlineStr">
        <is>
          <t>EDT 3.3</t>
        </is>
      </c>
      <c r="D17" s="14" t="inlineStr">
        <is>
          <t>Base de Datos Relacional PostgreSQL (Modelo E-R, DDL y Migraciones)</t>
        </is>
      </c>
      <c r="E17" s="17" t="n">
        <v>80</v>
      </c>
      <c r="F17" s="17" t="n">
        <v>25</v>
      </c>
      <c r="G17" s="17" t="n">
        <v>20</v>
      </c>
      <c r="H17" s="35">
        <f>SUM(E17:G17)</f>
        <v/>
      </c>
      <c r="I17" s="36">
        <f>H17/$H$45</f>
        <v/>
      </c>
    </row>
    <row r="18">
      <c r="B18" s="34" t="inlineStr">
        <is>
          <t>Fase 3.0</t>
        </is>
      </c>
      <c r="C18" s="13" t="inlineStr">
        <is>
          <t>EDT 3.4</t>
        </is>
      </c>
      <c r="D18" s="14" t="inlineStr">
        <is>
          <t>Prototipos e Interfaces UI Angular (Mostrador, Arqueo, Bobinas)</t>
        </is>
      </c>
      <c r="E18" s="17" t="n">
        <v>80</v>
      </c>
      <c r="F18" s="17" t="n">
        <v>25</v>
      </c>
      <c r="G18" s="17" t="n">
        <v>20</v>
      </c>
      <c r="H18" s="35">
        <f>SUM(E18:G18)</f>
        <v/>
      </c>
      <c r="I18" s="36">
        <f>H18/$H$45</f>
        <v/>
      </c>
    </row>
    <row r="19">
      <c r="B19" s="34" t="inlineStr">
        <is>
          <t>Fase 3.0</t>
        </is>
      </c>
      <c r="C19" s="13" t="inlineStr">
        <is>
          <t>EDT 3.5</t>
        </is>
      </c>
      <c r="D19" s="14" t="inlineStr">
        <is>
          <t>Matriz de Trazabilidad de Requisitos (MTR)</t>
        </is>
      </c>
      <c r="E19" s="17" t="n">
        <v>72</v>
      </c>
      <c r="F19" s="17" t="n">
        <v>20</v>
      </c>
      <c r="G19" s="17" t="n">
        <v>18</v>
      </c>
      <c r="H19" s="35">
        <f>SUM(E19:G19)</f>
        <v/>
      </c>
      <c r="I19" s="36">
        <f>H19/$H$45</f>
        <v/>
      </c>
    </row>
    <row r="20">
      <c r="B20" s="37" t="inlineStr">
        <is>
          <t>SUBTOTAL FASE 3.0</t>
        </is>
      </c>
      <c r="C20" s="38" t="n"/>
      <c r="D20" s="38" t="n"/>
      <c r="E20" s="39">
        <f>SUM(E15:E19)</f>
        <v/>
      </c>
      <c r="F20" s="39">
        <f>SUM(F15:F19)</f>
        <v/>
      </c>
      <c r="G20" s="39">
        <f>SUM(G15:G19)</f>
        <v/>
      </c>
      <c r="H20" s="39">
        <f>SUM(H15:H19)</f>
        <v/>
      </c>
      <c r="I20" s="40">
        <f>H20/$H$45</f>
        <v/>
      </c>
    </row>
    <row r="21">
      <c r="B21" s="34" t="inlineStr">
        <is>
          <t>Fase 4.0</t>
        </is>
      </c>
      <c r="C21" s="13" t="inlineStr">
        <is>
          <t>EDT 4.1</t>
        </is>
      </c>
      <c r="D21" s="14" t="inlineStr">
        <is>
          <t>Módulo Transaccional Base y Catálogo (Servicios, Backlog, DoD)</t>
        </is>
      </c>
      <c r="E21" s="17" t="n">
        <v>244</v>
      </c>
      <c r="F21" s="17" t="n">
        <v>70</v>
      </c>
      <c r="G21" s="17" t="n">
        <v>46</v>
      </c>
      <c r="H21" s="35">
        <f>SUM(E21:G21)</f>
        <v/>
      </c>
      <c r="I21" s="36">
        <f>H21/$H$45</f>
        <v/>
      </c>
    </row>
    <row r="22">
      <c r="B22" s="34" t="inlineStr">
        <is>
          <t>Fase 4.0</t>
        </is>
      </c>
      <c r="C22" s="13" t="inlineStr">
        <is>
          <t>EDT 4.2</t>
        </is>
      </c>
      <c r="D22" s="14" t="inlineStr">
        <is>
          <t>Cobros, Caja, BI y Control Operativo (Talonario, Candado, Arqueo)</t>
        </is>
      </c>
      <c r="E22" s="17" t="n">
        <v>256</v>
      </c>
      <c r="F22" s="17" t="n">
        <v>80</v>
      </c>
      <c r="G22" s="17" t="n">
        <v>44</v>
      </c>
      <c r="H22" s="35">
        <f>SUM(E22:G22)</f>
        <v/>
      </c>
      <c r="I22" s="36">
        <f>H22/$H$45</f>
        <v/>
      </c>
    </row>
    <row r="23">
      <c r="B23" s="34" t="inlineStr">
        <is>
          <t>Fase 4.0</t>
        </is>
      </c>
      <c r="C23" s="13" t="inlineStr">
        <is>
          <t>EDT 4.3</t>
        </is>
      </c>
      <c r="D23" s="14" t="inlineStr">
        <is>
          <t>Modelo Predictivo de Demanda e IA (Predicción Insumos, Consolidado)</t>
        </is>
      </c>
      <c r="E23" s="17" t="n">
        <v>80</v>
      </c>
      <c r="F23" s="17" t="n">
        <v>20</v>
      </c>
      <c r="G23" s="17" t="n">
        <v>20</v>
      </c>
      <c r="H23" s="35">
        <f>SUM(E23:G23)</f>
        <v/>
      </c>
      <c r="I23" s="36">
        <f>H23/$H$45</f>
        <v/>
      </c>
    </row>
    <row r="24">
      <c r="B24" s="37" t="inlineStr">
        <is>
          <t>SUBTOTAL FASE 4.0</t>
        </is>
      </c>
      <c r="C24" s="38" t="n"/>
      <c r="D24" s="38" t="n"/>
      <c r="E24" s="39">
        <f>SUM(E21:E23)</f>
        <v/>
      </c>
      <c r="F24" s="39">
        <f>SUM(F21:F23)</f>
        <v/>
      </c>
      <c r="G24" s="39">
        <f>SUM(G21:G23)</f>
        <v/>
      </c>
      <c r="H24" s="39">
        <f>SUM(H21:H23)</f>
        <v/>
      </c>
      <c r="I24" s="40">
        <f>H24/$H$45</f>
        <v/>
      </c>
    </row>
    <row r="25">
      <c r="B25" s="34" t="inlineStr">
        <is>
          <t>Fase 5.0</t>
        </is>
      </c>
      <c r="C25" s="13" t="inlineStr">
        <is>
          <t>EDT 5.1</t>
        </is>
      </c>
      <c r="D25" s="14" t="inlineStr">
        <is>
          <t>Pruebas de Software Automatizadas (93 pytest, 282 Karma, E2E, UAT)</t>
        </is>
      </c>
      <c r="E25" s="17" t="n">
        <v>256</v>
      </c>
      <c r="F25" s="17" t="n">
        <v>70</v>
      </c>
      <c r="G25" s="17" t="n">
        <v>64</v>
      </c>
      <c r="H25" s="35">
        <f>SUM(E25:G25)</f>
        <v/>
      </c>
      <c r="I25" s="36">
        <f>H25/$H$45</f>
        <v/>
      </c>
    </row>
    <row r="26">
      <c r="B26" s="34" t="inlineStr">
        <is>
          <t>Fase 5.0</t>
        </is>
      </c>
      <c r="C26" s="13" t="inlineStr">
        <is>
          <t>EDT 5.2</t>
        </is>
      </c>
      <c r="D26" s="14" t="inlineStr">
        <is>
          <t>Aseguramiento de Calidad SQA y CI/CD (GitHub Actions, Lints)</t>
        </is>
      </c>
      <c r="E26" s="17" t="n">
        <v>80</v>
      </c>
      <c r="F26" s="17" t="n">
        <v>20</v>
      </c>
      <c r="G26" s="17" t="n">
        <v>20</v>
      </c>
      <c r="H26" s="35">
        <f>SUM(E26:G26)</f>
        <v/>
      </c>
      <c r="I26" s="36">
        <f>H26/$H$45</f>
        <v/>
      </c>
    </row>
    <row r="27">
      <c r="B27" s="34" t="inlineStr">
        <is>
          <t>Fase 5.0</t>
        </is>
      </c>
      <c r="C27" s="13" t="inlineStr">
        <is>
          <t>EDT 5.3</t>
        </is>
      </c>
      <c r="D27" s="14" t="inlineStr">
        <is>
          <t>Evaluación Operativa en Planta (UAT y Encuesta Usabilidad SUS)</t>
        </is>
      </c>
      <c r="E27" s="17" t="n">
        <v>40</v>
      </c>
      <c r="F27" s="17" t="n">
        <v>10</v>
      </c>
      <c r="G27" s="17" t="n">
        <v>10</v>
      </c>
      <c r="H27" s="35">
        <f>SUM(E27:G27)</f>
        <v/>
      </c>
      <c r="I27" s="36">
        <f>H27/$H$45</f>
        <v/>
      </c>
    </row>
    <row r="28">
      <c r="B28" s="37" t="inlineStr">
        <is>
          <t>SUBTOTAL FASE 5.0</t>
        </is>
      </c>
      <c r="C28" s="38" t="n"/>
      <c r="D28" s="38" t="n"/>
      <c r="E28" s="39">
        <f>SUM(E25:E27)</f>
        <v/>
      </c>
      <c r="F28" s="39">
        <f>SUM(F25:F27)</f>
        <v/>
      </c>
      <c r="G28" s="39">
        <f>SUM(G25:G27)</f>
        <v/>
      </c>
      <c r="H28" s="39">
        <f>SUM(H25:H27)</f>
        <v/>
      </c>
      <c r="I28" s="40">
        <f>H28/$H$45</f>
        <v/>
      </c>
    </row>
    <row r="29">
      <c r="B29" s="34" t="inlineStr">
        <is>
          <t>Fase 6.0</t>
        </is>
      </c>
      <c r="C29" s="13" t="inlineStr">
        <is>
          <t>EDT 6.1</t>
        </is>
      </c>
      <c r="D29" s="14" t="inlineStr">
        <is>
          <t>Despliegue en Servidor VPS y Entrega (imprenta.darknezz.dev, Planta)</t>
        </is>
      </c>
      <c r="E29" s="17" t="n">
        <v>268</v>
      </c>
      <c r="F29" s="17" t="n">
        <v>70</v>
      </c>
      <c r="G29" s="17" t="n">
        <v>42</v>
      </c>
      <c r="H29" s="35">
        <f>SUM(E29:G29)</f>
        <v/>
      </c>
      <c r="I29" s="36">
        <f>H29/$H$45</f>
        <v/>
      </c>
    </row>
    <row r="30">
      <c r="B30" s="34" t="inlineStr">
        <is>
          <t>Fase 6.0</t>
        </is>
      </c>
      <c r="C30" s="13" t="inlineStr">
        <is>
          <t>EDT 6.2</t>
        </is>
      </c>
      <c r="D30" s="14" t="inlineStr">
        <is>
          <t>Capacitación Operativa y Manuales (Manual Usuario, Guía DevOps, Talleres)</t>
        </is>
      </c>
      <c r="E30" s="17" t="n">
        <v>212</v>
      </c>
      <c r="F30" s="17" t="n">
        <v>65</v>
      </c>
      <c r="G30" s="17" t="n">
        <v>43</v>
      </c>
      <c r="H30" s="35">
        <f>SUM(E30:G30)</f>
        <v/>
      </c>
      <c r="I30" s="36">
        <f>H30/$H$45</f>
        <v/>
      </c>
    </row>
    <row r="31">
      <c r="B31" s="37" t="inlineStr">
        <is>
          <t>SUBTOTAL FASE 6.0</t>
        </is>
      </c>
      <c r="C31" s="38" t="n"/>
      <c r="D31" s="38" t="n"/>
      <c r="E31" s="39">
        <f>SUM(E29:E30)</f>
        <v/>
      </c>
      <c r="F31" s="39">
        <f>SUM(F29:F30)</f>
        <v/>
      </c>
      <c r="G31" s="39">
        <f>SUM(G29:G30)</f>
        <v/>
      </c>
      <c r="H31" s="39">
        <f>SUM(H29:H30)</f>
        <v/>
      </c>
      <c r="I31" s="40">
        <f>H31/$H$45</f>
        <v/>
      </c>
    </row>
    <row r="32">
      <c r="B32" s="34" t="inlineStr">
        <is>
          <t>Fase 7.0</t>
        </is>
      </c>
      <c r="C32" s="13" t="inlineStr">
        <is>
          <t>EDT 7.1</t>
        </is>
      </c>
      <c r="D32" s="14" t="inlineStr">
        <is>
          <t>Práctica de Campo I (Semanas 1-7, Portafolio S7, Caps I y II)</t>
        </is>
      </c>
      <c r="E32" s="17" t="n">
        <v>120</v>
      </c>
      <c r="F32" s="17" t="n">
        <v>30</v>
      </c>
      <c r="G32" s="17" t="n">
        <v>30</v>
      </c>
      <c r="H32" s="35">
        <f>SUM(E32:G32)</f>
        <v/>
      </c>
      <c r="I32" s="36">
        <f>H32/$H$45</f>
        <v/>
      </c>
    </row>
    <row r="33">
      <c r="B33" s="34" t="inlineStr">
        <is>
          <t>Fase 7.0</t>
        </is>
      </c>
      <c r="C33" s="13" t="inlineStr">
        <is>
          <t>EDT 7.2</t>
        </is>
      </c>
      <c r="D33" s="14" t="inlineStr">
        <is>
          <t>Práctica de Campo II (Semanas 8-13, Portafolio S13, Caps V y VII)</t>
        </is>
      </c>
      <c r="E33" s="17" t="n">
        <v>120</v>
      </c>
      <c r="F33" s="17" t="n">
        <v>30</v>
      </c>
      <c r="G33" s="17" t="n">
        <v>30</v>
      </c>
      <c r="H33" s="35">
        <f>SUM(E33:G33)</f>
        <v/>
      </c>
      <c r="I33" s="36">
        <f>H33/$H$45</f>
        <v/>
      </c>
    </row>
    <row r="34">
      <c r="B34" s="34" t="inlineStr">
        <is>
          <t>Fase 7.0</t>
        </is>
      </c>
      <c r="C34" s="13" t="inlineStr">
        <is>
          <t>EDT 7.3</t>
        </is>
      </c>
      <c r="D34" s="14" t="inlineStr">
        <is>
          <t>Responsabilidad Social Universitaria (Digitalización MYPE Trujillo)</t>
        </is>
      </c>
      <c r="E34" s="17" t="n">
        <v>40</v>
      </c>
      <c r="F34" s="17" t="n">
        <v>10</v>
      </c>
      <c r="G34" s="17" t="n">
        <v>10</v>
      </c>
      <c r="H34" s="35">
        <f>SUM(E34:G34)</f>
        <v/>
      </c>
      <c r="I34" s="36">
        <f>H34/$H$45</f>
        <v/>
      </c>
    </row>
    <row r="35">
      <c r="B35" s="34" t="inlineStr">
        <is>
          <t>Fase 7.0</t>
        </is>
      </c>
      <c r="C35" s="13" t="inlineStr">
        <is>
          <t>EDT 7.4</t>
        </is>
      </c>
      <c r="D35" s="14" t="inlineStr">
        <is>
          <t>Medición de Línea Base Pretest (Tiempo atención 18 min, Mermas)</t>
        </is>
      </c>
      <c r="E35" s="17" t="n">
        <v>40</v>
      </c>
      <c r="F35" s="17" t="n">
        <v>10</v>
      </c>
      <c r="G35" s="17" t="n">
        <v>10</v>
      </c>
      <c r="H35" s="35">
        <f>SUM(E35:G35)</f>
        <v/>
      </c>
      <c r="I35" s="36">
        <f>H35/$H$45</f>
        <v/>
      </c>
    </row>
    <row r="36">
      <c r="B36" s="34" t="inlineStr">
        <is>
          <t>Fase 7.0</t>
        </is>
      </c>
      <c r="C36" s="13" t="inlineStr">
        <is>
          <t>EDT 7.5</t>
        </is>
      </c>
      <c r="D36" s="14" t="inlineStr">
        <is>
          <t>Medición Postest Censal (Muestra n=125 órdenes de producción)</t>
        </is>
      </c>
      <c r="E36" s="17" t="n">
        <v>60</v>
      </c>
      <c r="F36" s="17" t="n">
        <v>10</v>
      </c>
      <c r="G36" s="17" t="n">
        <v>10</v>
      </c>
      <c r="H36" s="35">
        <f>SUM(E36:G36)</f>
        <v/>
      </c>
      <c r="I36" s="36">
        <f>H36/$H$45</f>
        <v/>
      </c>
    </row>
    <row r="37">
      <c r="B37" s="34" t="inlineStr">
        <is>
          <t>Fase 7.0</t>
        </is>
      </c>
      <c r="C37" s="13" t="inlineStr">
        <is>
          <t>EDT 7.6</t>
        </is>
      </c>
      <c r="D37" s="14" t="inlineStr">
        <is>
          <t>Informe de Resultados Empresariales (Dictamen y Conformidad Gerencia)</t>
        </is>
      </c>
      <c r="E37" s="17" t="n">
        <v>40</v>
      </c>
      <c r="F37" s="17" t="n">
        <v>10</v>
      </c>
      <c r="G37" s="17" t="n">
        <v>10</v>
      </c>
      <c r="H37" s="35">
        <f>SUM(E37:G37)</f>
        <v/>
      </c>
      <c r="I37" s="36">
        <f>H37/$H$45</f>
        <v/>
      </c>
    </row>
    <row r="38">
      <c r="B38" s="37" t="inlineStr">
        <is>
          <t>SUBTOTAL FASE 7.0</t>
        </is>
      </c>
      <c r="C38" s="38" t="n"/>
      <c r="D38" s="38" t="n"/>
      <c r="E38" s="39">
        <f>SUM(E32:E37)</f>
        <v/>
      </c>
      <c r="F38" s="39">
        <f>SUM(F32:F37)</f>
        <v/>
      </c>
      <c r="G38" s="39">
        <f>SUM(G32:G37)</f>
        <v/>
      </c>
      <c r="H38" s="39">
        <f>SUM(H32:H37)</f>
        <v/>
      </c>
      <c r="I38" s="40">
        <f>H38/$H$45</f>
        <v/>
      </c>
    </row>
    <row r="39">
      <c r="B39" s="34" t="inlineStr">
        <is>
          <t>Fase 8.0</t>
        </is>
      </c>
      <c r="C39" s="13" t="inlineStr">
        <is>
          <t>EDT 8.1</t>
        </is>
      </c>
      <c r="D39" s="14" t="inlineStr">
        <is>
          <t>Inferencia Estadística y Contraste de Hipótesis (Wilcoxon / t-Student)</t>
        </is>
      </c>
      <c r="E39" s="17" t="n">
        <v>48</v>
      </c>
      <c r="F39" s="17" t="n">
        <v>10</v>
      </c>
      <c r="G39" s="17" t="n">
        <v>12</v>
      </c>
      <c r="H39" s="35">
        <f>SUM(E39:G39)</f>
        <v/>
      </c>
      <c r="I39" s="36">
        <f>H39/$H$45</f>
        <v/>
      </c>
    </row>
    <row r="40">
      <c r="B40" s="34" t="inlineStr">
        <is>
          <t>Fase 8.0</t>
        </is>
      </c>
      <c r="C40" s="13" t="inlineStr">
        <is>
          <t>EDT 8.2</t>
        </is>
      </c>
      <c r="D40" s="14" t="inlineStr">
        <is>
          <t>Artículo Científico (Paper en formato de Conferencia IEEE)</t>
        </is>
      </c>
      <c r="E40" s="17" t="n">
        <v>40</v>
      </c>
      <c r="F40" s="17" t="n">
        <v>10</v>
      </c>
      <c r="G40" s="17" t="n">
        <v>10</v>
      </c>
      <c r="H40" s="35">
        <f>SUM(E40:G40)</f>
        <v/>
      </c>
      <c r="I40" s="36">
        <f>H40/$H$45</f>
        <v/>
      </c>
    </row>
    <row r="41">
      <c r="B41" s="34" t="inlineStr">
        <is>
          <t>Fase 8.0</t>
        </is>
      </c>
      <c r="C41" s="13" t="inlineStr">
        <is>
          <t>EDT 8.3</t>
        </is>
      </c>
      <c r="D41" s="14" t="inlineStr">
        <is>
          <t>Memoria Técnica del Software (Arquitectura, DDL, Manual Operativo)</t>
        </is>
      </c>
      <c r="E41" s="17" t="n">
        <v>40</v>
      </c>
      <c r="F41" s="17" t="n">
        <v>10</v>
      </c>
      <c r="G41" s="17" t="n">
        <v>10</v>
      </c>
      <c r="H41" s="35">
        <f>SUM(E41:G41)</f>
        <v/>
      </c>
      <c r="I41" s="36">
        <f>H41/$H$45</f>
        <v/>
      </c>
    </row>
    <row r="42">
      <c r="B42" s="34" t="inlineStr">
        <is>
          <t>Fase 8.0</t>
        </is>
      </c>
      <c r="C42" s="13" t="inlineStr">
        <is>
          <t>EDT 8.4</t>
        </is>
      </c>
      <c r="D42" s="14" t="inlineStr">
        <is>
          <t>Portafolio Capstone Consolidado (Evidencias completas Semanas 1 a 16)</t>
        </is>
      </c>
      <c r="E42" s="17" t="n">
        <v>40</v>
      </c>
      <c r="F42" s="17" t="n">
        <v>10</v>
      </c>
      <c r="G42" s="17" t="n">
        <v>10</v>
      </c>
      <c r="H42" s="35">
        <f>SUM(E42:G42)</f>
        <v/>
      </c>
      <c r="I42" s="36">
        <f>H42/$H$45</f>
        <v/>
      </c>
    </row>
    <row r="43">
      <c r="B43" s="34" t="inlineStr">
        <is>
          <t>Fase 8.0</t>
        </is>
      </c>
      <c r="C43" s="13" t="inlineStr">
        <is>
          <t>EDT 8.5</t>
        </is>
      </c>
      <c r="D43" s="14" t="inlineStr">
        <is>
          <t>Cierre Formal y Sustentación (Acta de Cierre, Sustentación ante Jurado)</t>
        </is>
      </c>
      <c r="E43" s="17" t="n">
        <v>40</v>
      </c>
      <c r="F43" s="17" t="n">
        <v>10</v>
      </c>
      <c r="G43" s="17" t="n">
        <v>10</v>
      </c>
      <c r="H43" s="35">
        <f>SUM(E43:G43)</f>
        <v/>
      </c>
      <c r="I43" s="36">
        <f>H43/$H$45</f>
        <v/>
      </c>
    </row>
    <row r="44">
      <c r="B44" s="37" t="inlineStr">
        <is>
          <t>SUBTOTAL FASE 8.0</t>
        </is>
      </c>
      <c r="C44" s="38" t="n"/>
      <c r="D44" s="38" t="n"/>
      <c r="E44" s="39">
        <f>SUM(E39:E43)</f>
        <v/>
      </c>
      <c r="F44" s="39">
        <f>SUM(F39:F43)</f>
        <v/>
      </c>
      <c r="G44" s="39">
        <f>SUM(G39:G43)</f>
        <v/>
      </c>
      <c r="H44" s="39">
        <f>SUM(H39:H43)</f>
        <v/>
      </c>
      <c r="I44" s="40">
        <f>H44/$H$45</f>
        <v/>
      </c>
    </row>
    <row r="45">
      <c r="B45" s="41" t="inlineStr">
        <is>
          <t>TOTAL GENERAL DEL PROYECTO (100% EDT)</t>
        </is>
      </c>
      <c r="C45" s="29" t="n"/>
      <c r="D45" s="29" t="n"/>
      <c r="E45" s="42">
        <f>SUM(E10,E14,E20,E24,E28,E31,E38,E44)</f>
        <v/>
      </c>
      <c r="F45" s="42">
        <f>SUM(F10,F14,F20,F24,F28,F31,F38,F44)</f>
        <v/>
      </c>
      <c r="G45" s="42">
        <f>SUM(G10,G14,G20,G24,G28,G31,G38,G44)</f>
        <v/>
      </c>
      <c r="H45" s="42">
        <f>SUM(H10,H14,H20,H24,H28,H31,H38,H44)</f>
        <v/>
      </c>
      <c r="I45" s="43" t="inlineStr">
        <is>
          <t>100.00%</t>
        </is>
      </c>
    </row>
  </sheetData>
  <mergeCells count="9">
    <mergeCell ref="B10:D10"/>
    <mergeCell ref="B28:D28"/>
    <mergeCell ref="B14:D14"/>
    <mergeCell ref="B31:D31"/>
    <mergeCell ref="B45:D45"/>
    <mergeCell ref="B44:D44"/>
    <mergeCell ref="B38:D38"/>
    <mergeCell ref="B24:D2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2026-10-03T05:03:34Z</dcterms:created>
  <dcterms:modified xmlns:dcterms="http://purl.org/dc/terms/" xmlns:xsi="http://www.w3.org/2001/XMLSchema-instance" xsi:type="dcterms:W3CDTF">2026-10-03T05:03:34Z</dcterms:modified>
</cp:coreProperties>
</file>