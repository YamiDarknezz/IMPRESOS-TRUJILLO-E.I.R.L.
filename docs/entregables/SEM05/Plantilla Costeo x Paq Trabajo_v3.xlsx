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Resumen_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 #,##0.00"/>
  </numFmts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9"/>
    </font>
    <font>
      <name val="Calibri"/>
      <sz val="9"/>
    </font>
    <font>
      <name val="Calibri"/>
      <b val="1"/>
      <sz val="11"/>
    </font>
    <font>
      <name val="Calibri"/>
      <b val="1"/>
      <color rgb="001F4E79"/>
      <sz val="12"/>
    </font>
    <font>
      <name val="Calibri"/>
      <i val="1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1F4E79"/>
        <bgColor rgb="001F4E79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double">
        <color rgb="00000000"/>
      </bottom>
    </border>
    <border>
      <left style="thin">
        <color rgb="00A6A6A6"/>
      </left>
      <right style="thin">
        <color rgb="00A6A6A6"/>
      </right>
      <top style="medium"/>
      <bottom style="double"/>
    </border>
    <border>
      <left style="thin">
        <color rgb="00A6A6A6"/>
      </left>
      <right style="thin">
        <color rgb="00A6A6A6"/>
      </right>
      <top style="thin"/>
      <bottom style="double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0" fillId="0" borderId="2" pivotButton="0" quotePrefix="0" xfId="0"/>
    <xf numFmtId="0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  <xf numFmtId="0" fontId="2" fillId="2" borderId="2" applyAlignment="1" pivotButton="0" quotePrefix="0" xfId="0">
      <alignment horizontal="left" vertical="center"/>
    </xf>
    <xf numFmtId="164" fontId="2" fillId="2" borderId="2" applyAlignment="1" pivotButton="0" quotePrefix="0" xfId="0">
      <alignment horizontal="right" vertical="center"/>
    </xf>
    <xf numFmtId="0" fontId="4" fillId="7" borderId="3" pivotButton="0" quotePrefix="0" xfId="0"/>
    <xf numFmtId="0" fontId="0" fillId="0" borderId="3" pivotButton="0" quotePrefix="0" xfId="0"/>
    <xf numFmtId="164" fontId="4" fillId="7" borderId="3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1" fillId="7" borderId="4" applyAlignment="1" pivotButton="0" quotePrefix="0" xfId="0">
      <alignment horizontal="center" vertical="center" wrapText="1"/>
    </xf>
    <xf numFmtId="0" fontId="1" fillId="7" borderId="4" pivotButton="0" quotePrefix="0" xfId="0"/>
    <xf numFmtId="164" fontId="2" fillId="7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4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2" customWidth="1" min="3" max="3"/>
    <col width="30" customWidth="1" min="4" max="4"/>
    <col width="14" customWidth="1" min="5" max="5"/>
    <col width="14" customWidth="1" min="6" max="6"/>
    <col width="14" customWidth="1" min="7" max="7"/>
    <col width="34" customWidth="1" min="8" max="8"/>
    <col width="10" customWidth="1" min="9" max="9"/>
    <col width="12" customWidth="1" min="10" max="10"/>
    <col width="12" customWidth="1" min="11" max="11"/>
    <col width="14" customWidth="1" min="12" max="12"/>
    <col width="34" customWidth="1" min="13" max="13"/>
    <col width="10" customWidth="1" min="14" max="14"/>
    <col width="14" customWidth="1" min="15" max="15"/>
    <col width="14" customWidth="1" min="16" max="16"/>
  </cols>
  <sheetData>
    <row r="2">
      <c r="B2" s="1" t="inlineStr">
        <is>
          <t>PAQUETE DE TRABAJO / ENTREGABLE</t>
        </is>
      </c>
      <c r="D2" s="2" t="inlineStr">
        <is>
          <t>EDT 1.0 — GESTIÓN DEL PROYECTO (LÍNEA BASE Y DIRECCIÓN)</t>
        </is>
      </c>
    </row>
    <row r="3">
      <c r="B3" s="3" t="inlineStr">
        <is>
          <t>ACTIVIDAD</t>
        </is>
      </c>
      <c r="D3" s="3" t="inlineStr">
        <is>
          <t>COSTOS</t>
        </is>
      </c>
    </row>
    <row r="4">
      <c r="B4" s="4" t="inlineStr">
        <is>
          <t>CODIGO</t>
        </is>
      </c>
      <c r="C4" s="4" t="inlineStr">
        <is>
          <t>DESCRIPCION</t>
        </is>
      </c>
      <c r="D4" s="5" t="inlineStr">
        <is>
          <t>RECURSOS HUMANOS</t>
        </is>
      </c>
      <c r="E4" s="6" t="n"/>
      <c r="F4" s="6" t="n"/>
      <c r="G4" s="6" t="n"/>
      <c r="H4" s="7" t="inlineStr">
        <is>
          <t>MAQUINARIA/EQUIPOS/INFRAESTRUCTURA</t>
        </is>
      </c>
      <c r="I4" s="8" t="n"/>
      <c r="J4" s="8" t="n"/>
      <c r="K4" s="8" t="n"/>
      <c r="L4" s="8" t="n"/>
      <c r="M4" s="9" t="inlineStr">
        <is>
          <t>CONSUMIBLES/SERVICIOS</t>
        </is>
      </c>
      <c r="N4" s="10" t="n"/>
      <c r="O4" s="10" t="n"/>
      <c r="P4" s="10" t="n"/>
    </row>
    <row r="5">
      <c r="D5" s="5" t="inlineStr">
        <is>
          <t>Nombre del Recurso</t>
        </is>
      </c>
      <c r="E5" s="5" t="inlineStr">
        <is>
          <t>Numero de Horas</t>
        </is>
      </c>
      <c r="F5" s="5" t="inlineStr">
        <is>
          <t>Costo x Hora</t>
        </is>
      </c>
      <c r="G5" s="5" t="inlineStr">
        <is>
          <t>Costo Total</t>
        </is>
      </c>
      <c r="H5" s="7" t="inlineStr">
        <is>
          <t>Nombre del Recurso</t>
        </is>
      </c>
      <c r="I5" s="7" t="inlineStr">
        <is>
          <t>Cantidad</t>
        </is>
      </c>
      <c r="J5" s="7" t="inlineStr">
        <is>
          <t>Costo x día</t>
        </is>
      </c>
      <c r="K5" s="7" t="inlineStr">
        <is>
          <t>Nro. De días</t>
        </is>
      </c>
      <c r="L5" s="7" t="inlineStr">
        <is>
          <t>Total</t>
        </is>
      </c>
      <c r="M5" s="9" t="inlineStr">
        <is>
          <t>Nombre del Recurso</t>
        </is>
      </c>
      <c r="N5" s="9" t="inlineStr">
        <is>
          <t>Cantidad</t>
        </is>
      </c>
      <c r="O5" s="9" t="inlineStr">
        <is>
          <t>Costo Unitario</t>
        </is>
      </c>
      <c r="P5" s="9" t="inlineStr">
        <is>
          <t>IMPORTE</t>
        </is>
      </c>
    </row>
    <row r="6">
      <c r="B6" s="11" t="inlineStr">
        <is>
          <t>1.1.1</t>
        </is>
      </c>
      <c r="C6" s="12" t="inlineStr">
        <is>
          <t>Elaborar el Acta de Constitución</t>
        </is>
      </c>
      <c r="D6" s="13" t="inlineStr">
        <is>
          <t>Gerardo Plasencia (Líder)</t>
        </is>
      </c>
      <c r="E6" s="14" t="n">
        <v>4</v>
      </c>
      <c r="F6" s="15" t="n">
        <v>15</v>
      </c>
      <c r="G6" s="15">
        <f>E6*F6</f>
        <v/>
      </c>
      <c r="H6" s="13" t="inlineStr">
        <is>
          <t>Alquiler Laptop desarrollo (i7/16GB)</t>
        </is>
      </c>
      <c r="I6" s="14" t="n">
        <v>1</v>
      </c>
      <c r="J6" s="15" t="n">
        <v>5</v>
      </c>
      <c r="K6" s="14" t="n">
        <v>4</v>
      </c>
      <c r="L6" s="15">
        <f>I6*J6*K6</f>
        <v/>
      </c>
      <c r="M6" s="13" t="inlineStr">
        <is>
          <t>Energía eléctrica estación de trabajo</t>
        </is>
      </c>
      <c r="N6" s="14" t="n">
        <v>1</v>
      </c>
      <c r="O6" s="15" t="n">
        <v>10</v>
      </c>
      <c r="P6" s="15">
        <f>N6*O6</f>
        <v/>
      </c>
    </row>
    <row r="7"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3" t="inlineStr">
        <is>
          <t>Internet alta velocidad prorrateado</t>
        </is>
      </c>
      <c r="N7" s="14" t="n">
        <v>1</v>
      </c>
      <c r="O7" s="15" t="n">
        <v>10</v>
      </c>
      <c r="P7" s="15">
        <f>N7*O7</f>
        <v/>
      </c>
    </row>
    <row r="8">
      <c r="B8" s="16" t="n"/>
      <c r="C8" s="17" t="inlineStr">
        <is>
          <t>SUB TOTAL ACTIVIDAD</t>
        </is>
      </c>
      <c r="D8" s="18">
        <f>SUM(G6:G7)</f>
        <v/>
      </c>
      <c r="E8" s="16" t="n"/>
      <c r="F8" s="16" t="n"/>
      <c r="G8" s="16" t="n"/>
      <c r="H8" s="18">
        <f>SUM(L6:L7)</f>
        <v/>
      </c>
      <c r="I8" s="16" t="n"/>
      <c r="J8" s="16" t="n"/>
      <c r="K8" s="16" t="n"/>
      <c r="L8" s="16" t="n"/>
      <c r="M8" s="18">
        <f>SUM(P6:P7)</f>
        <v/>
      </c>
      <c r="N8" s="16" t="n"/>
      <c r="O8" s="16" t="n"/>
      <c r="P8" s="16" t="n"/>
    </row>
    <row r="9">
      <c r="B9" s="19" t="n"/>
      <c r="C9" s="20" t="inlineStr">
        <is>
          <t>TOTAL ACTIVIDAD</t>
        </is>
      </c>
      <c r="D9" s="21">
        <f>D8+H8+M8</f>
        <v/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B10" s="11" t="inlineStr">
        <is>
          <t>1.1.2</t>
        </is>
      </c>
      <c r="C10" s="12" t="inlineStr">
        <is>
          <t>Validar el Acta con Gerencia</t>
        </is>
      </c>
      <c r="D10" s="13" t="inlineStr">
        <is>
          <t>Gerardo Plasencia (Líder)</t>
        </is>
      </c>
      <c r="E10" s="14" t="n">
        <v>4</v>
      </c>
      <c r="F10" s="15" t="n">
        <v>15</v>
      </c>
      <c r="G10" s="15">
        <f>E10*F10</f>
        <v/>
      </c>
      <c r="H10" s="13" t="inlineStr">
        <is>
          <t>Alquiler Laptop desarrollo</t>
        </is>
      </c>
      <c r="I10" s="14" t="n">
        <v>1</v>
      </c>
      <c r="J10" s="15" t="n">
        <v>5</v>
      </c>
      <c r="K10" s="14" t="n">
        <v>3</v>
      </c>
      <c r="L10" s="15">
        <f>I10*J10*K10</f>
        <v/>
      </c>
      <c r="M10" s="13" t="inlineStr">
        <is>
          <t>Impresión de actas y energía</t>
        </is>
      </c>
      <c r="N10" s="14" t="n">
        <v>1</v>
      </c>
      <c r="O10" s="15" t="n">
        <v>10</v>
      </c>
      <c r="P10" s="15">
        <f>N10*O10</f>
        <v/>
      </c>
    </row>
    <row r="11">
      <c r="B11" s="16" t="n"/>
      <c r="C11" s="16" t="n"/>
      <c r="D11" s="16" t="n"/>
      <c r="E11" s="16" t="n"/>
      <c r="F11" s="16" t="n"/>
      <c r="G11" s="16" t="n"/>
      <c r="H11" s="13" t="inlineStr">
        <is>
          <t>Movilidad traslado a taller imprenta</t>
        </is>
      </c>
      <c r="I11" s="14" t="n">
        <v>1</v>
      </c>
      <c r="J11" s="15" t="n">
        <v>15</v>
      </c>
      <c r="K11" s="14" t="n">
        <v>1</v>
      </c>
      <c r="L11" s="15">
        <f>I11*J11*K11</f>
        <v/>
      </c>
      <c r="M11" s="16" t="n"/>
      <c r="N11" s="16" t="n"/>
      <c r="O11" s="16" t="n"/>
      <c r="P11" s="16" t="n"/>
    </row>
    <row r="12">
      <c r="B12" s="16" t="n"/>
      <c r="C12" s="17" t="inlineStr">
        <is>
          <t>SUB TOTAL ACTIVIDAD</t>
        </is>
      </c>
      <c r="D12" s="18">
        <f>SUM(G10:G11)</f>
        <v/>
      </c>
      <c r="E12" s="16" t="n"/>
      <c r="F12" s="16" t="n"/>
      <c r="G12" s="16" t="n"/>
      <c r="H12" s="18">
        <f>SUM(L10:L11)</f>
        <v/>
      </c>
      <c r="I12" s="16" t="n"/>
      <c r="J12" s="16" t="n"/>
      <c r="K12" s="16" t="n"/>
      <c r="L12" s="16" t="n"/>
      <c r="M12" s="18">
        <f>SUM(P10:P11)</f>
        <v/>
      </c>
      <c r="N12" s="16" t="n"/>
      <c r="O12" s="16" t="n"/>
      <c r="P12" s="16" t="n"/>
    </row>
    <row r="13">
      <c r="B13" s="19" t="n"/>
      <c r="C13" s="20" t="inlineStr">
        <is>
          <t>TOTAL ACTIVIDAD</t>
        </is>
      </c>
      <c r="D13" s="21">
        <f>D12+H12+M12</f>
        <v/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>
      <c r="B14" s="11" t="inlineStr">
        <is>
          <t>1.2.1</t>
        </is>
      </c>
      <c r="C14" s="12" t="inlineStr">
        <is>
          <t>Formular el Business Case</t>
        </is>
      </c>
      <c r="D14" s="13" t="inlineStr">
        <is>
          <t>Gerardo Plasencia (Líder)</t>
        </is>
      </c>
      <c r="E14" s="14" t="n">
        <v>4</v>
      </c>
      <c r="F14" s="15" t="n">
        <v>15</v>
      </c>
      <c r="G14" s="15">
        <f>E14*F14</f>
        <v/>
      </c>
      <c r="H14" s="13" t="inlineStr">
        <is>
          <t>Alquiler Laptop desarrollo</t>
        </is>
      </c>
      <c r="I14" s="14" t="n">
        <v>1</v>
      </c>
      <c r="J14" s="15" t="n">
        <v>5</v>
      </c>
      <c r="K14" s="14" t="n">
        <v>4</v>
      </c>
      <c r="L14" s="15">
        <f>I14*J14*K14</f>
        <v/>
      </c>
      <c r="M14" s="13" t="inlineStr">
        <is>
          <t>Energía eléctrica de trabajo</t>
        </is>
      </c>
      <c r="N14" s="14" t="n">
        <v>1</v>
      </c>
      <c r="O14" s="15" t="n">
        <v>10</v>
      </c>
      <c r="P14" s="15">
        <f>N14*O14</f>
        <v/>
      </c>
    </row>
    <row r="15"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3" t="inlineStr">
        <is>
          <t>Servicio de conectividad</t>
        </is>
      </c>
      <c r="N15" s="14" t="n">
        <v>1</v>
      </c>
      <c r="O15" s="15" t="n">
        <v>10</v>
      </c>
      <c r="P15" s="15">
        <f>N15*O15</f>
        <v/>
      </c>
    </row>
    <row r="16">
      <c r="B16" s="16" t="n"/>
      <c r="C16" s="17" t="inlineStr">
        <is>
          <t>SUB TOTAL ACTIVIDAD</t>
        </is>
      </c>
      <c r="D16" s="18">
        <f>SUM(G14:G15)</f>
        <v/>
      </c>
      <c r="E16" s="16" t="n"/>
      <c r="F16" s="16" t="n"/>
      <c r="G16" s="16" t="n"/>
      <c r="H16" s="18">
        <f>SUM(L14:L15)</f>
        <v/>
      </c>
      <c r="I16" s="16" t="n"/>
      <c r="J16" s="16" t="n"/>
      <c r="K16" s="16" t="n"/>
      <c r="L16" s="16" t="n"/>
      <c r="M16" s="18">
        <f>SUM(P14:P15)</f>
        <v/>
      </c>
      <c r="N16" s="16" t="n"/>
      <c r="O16" s="16" t="n"/>
      <c r="P16" s="16" t="n"/>
    </row>
    <row r="17">
      <c r="B17" s="19" t="n"/>
      <c r="C17" s="20" t="inlineStr">
        <is>
          <t>TOTAL ACTIVIDAD</t>
        </is>
      </c>
      <c r="D17" s="21">
        <f>D16+H16+M16</f>
        <v/>
      </c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>
      <c r="B18" s="11" t="inlineStr">
        <is>
          <t>1.2.2</t>
        </is>
      </c>
      <c r="C18" s="12" t="inlineStr">
        <is>
          <t>Evaluar la viabilidad económica</t>
        </is>
      </c>
      <c r="D18" s="13" t="inlineStr">
        <is>
          <t>Gerardo Plasencia (Líder)</t>
        </is>
      </c>
      <c r="E18" s="14" t="n">
        <v>4</v>
      </c>
      <c r="F18" s="15" t="n">
        <v>15</v>
      </c>
      <c r="G18" s="15">
        <f>E18*F18</f>
        <v/>
      </c>
      <c r="H18" s="13" t="inlineStr">
        <is>
          <t>Alquiler Laptop desarrollo</t>
        </is>
      </c>
      <c r="I18" s="14" t="n">
        <v>1</v>
      </c>
      <c r="J18" s="15" t="n">
        <v>5</v>
      </c>
      <c r="K18" s="14" t="n">
        <v>3</v>
      </c>
      <c r="L18" s="15">
        <f>I18*J18*K18</f>
        <v/>
      </c>
      <c r="M18" s="13" t="inlineStr">
        <is>
          <t>Energía eléctrica e internet</t>
        </is>
      </c>
      <c r="N18" s="14" t="n">
        <v>1</v>
      </c>
      <c r="O18" s="15" t="n">
        <v>25</v>
      </c>
      <c r="P18" s="15">
        <f>N18*O18</f>
        <v/>
      </c>
    </row>
    <row r="19">
      <c r="B19" s="16" t="n"/>
      <c r="C19" s="17" t="inlineStr">
        <is>
          <t>SUB TOTAL ACTIVIDAD</t>
        </is>
      </c>
      <c r="D19" s="18">
        <f>SUM(G18:G18)</f>
        <v/>
      </c>
      <c r="E19" s="16" t="n"/>
      <c r="F19" s="16" t="n"/>
      <c r="G19" s="16" t="n"/>
      <c r="H19" s="18">
        <f>SUM(L18:L18)</f>
        <v/>
      </c>
      <c r="I19" s="16" t="n"/>
      <c r="J19" s="16" t="n"/>
      <c r="K19" s="16" t="n"/>
      <c r="L19" s="16" t="n"/>
      <c r="M19" s="18">
        <f>SUM(P18:P18)</f>
        <v/>
      </c>
      <c r="N19" s="16" t="n"/>
      <c r="O19" s="16" t="n"/>
      <c r="P19" s="16" t="n"/>
    </row>
    <row r="20">
      <c r="B20" s="19" t="n"/>
      <c r="C20" s="20" t="inlineStr">
        <is>
          <t>TOTAL ACTIVIDAD</t>
        </is>
      </c>
      <c r="D20" s="21">
        <f>D19+H19+M19</f>
        <v/>
      </c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>
      <c r="B21" s="11" t="inlineStr">
        <is>
          <t>1.3.1</t>
        </is>
      </c>
      <c r="C21" s="12" t="inlineStr">
        <is>
          <t>Elaborar la EDT</t>
        </is>
      </c>
      <c r="D21" s="13" t="inlineStr">
        <is>
          <t>Gerardo Plasencia (Líder)</t>
        </is>
      </c>
      <c r="E21" s="14" t="n">
        <v>2.5</v>
      </c>
      <c r="F21" s="15" t="n">
        <v>16</v>
      </c>
      <c r="G21" s="15">
        <f>E21*F21</f>
        <v/>
      </c>
      <c r="H21" s="13" t="inlineStr">
        <is>
          <t>Alquiler Laptop desarrollo</t>
        </is>
      </c>
      <c r="I21" s="14" t="n">
        <v>1</v>
      </c>
      <c r="J21" s="15" t="n">
        <v>5</v>
      </c>
      <c r="K21" s="14" t="n">
        <v>2</v>
      </c>
      <c r="L21" s="15">
        <f>I21*J21*K21</f>
        <v/>
      </c>
      <c r="M21" s="13" t="inlineStr">
        <is>
          <t>Energía eléctrica y conectividad</t>
        </is>
      </c>
      <c r="N21" s="14" t="n">
        <v>1</v>
      </c>
      <c r="O21" s="15" t="n">
        <v>10</v>
      </c>
      <c r="P21" s="15">
        <f>N21*O21</f>
        <v/>
      </c>
    </row>
    <row r="22">
      <c r="B22" s="16" t="n"/>
      <c r="C22" s="17" t="inlineStr">
        <is>
          <t>SUB TOTAL ACTIVIDAD</t>
        </is>
      </c>
      <c r="D22" s="18">
        <f>SUM(G21:G21)</f>
        <v/>
      </c>
      <c r="E22" s="16" t="n"/>
      <c r="F22" s="16" t="n"/>
      <c r="G22" s="16" t="n"/>
      <c r="H22" s="18">
        <f>SUM(L21:L21)</f>
        <v/>
      </c>
      <c r="I22" s="16" t="n"/>
      <c r="J22" s="16" t="n"/>
      <c r="K22" s="16" t="n"/>
      <c r="L22" s="16" t="n"/>
      <c r="M22" s="18">
        <f>SUM(P21:P21)</f>
        <v/>
      </c>
      <c r="N22" s="16" t="n"/>
      <c r="O22" s="16" t="n"/>
      <c r="P22" s="16" t="n"/>
    </row>
    <row r="23">
      <c r="B23" s="19" t="n"/>
      <c r="C23" s="20" t="inlineStr">
        <is>
          <t>TOTAL ACTIVIDAD</t>
        </is>
      </c>
      <c r="D23" s="21">
        <f>D22+H22+M22</f>
        <v/>
      </c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>
      <c r="B24" s="11" t="inlineStr">
        <is>
          <t>1.3.2</t>
        </is>
      </c>
      <c r="C24" s="12" t="inlineStr">
        <is>
          <t>Construir el cronograma</t>
        </is>
      </c>
      <c r="D24" s="13" t="inlineStr">
        <is>
          <t>Diego Rodríguez (Backend)</t>
        </is>
      </c>
      <c r="E24" s="14" t="n">
        <v>2.5</v>
      </c>
      <c r="F24" s="15" t="n">
        <v>16</v>
      </c>
      <c r="G24" s="15">
        <f>E24*F24</f>
        <v/>
      </c>
      <c r="H24" s="13" t="inlineStr">
        <is>
          <t>Alquiler Laptop desarrollo</t>
        </is>
      </c>
      <c r="I24" s="14" t="n">
        <v>1</v>
      </c>
      <c r="J24" s="15" t="n">
        <v>5</v>
      </c>
      <c r="K24" s="14" t="n">
        <v>2</v>
      </c>
      <c r="L24" s="15">
        <f>I24*J24*K24</f>
        <v/>
      </c>
      <c r="M24" s="13" t="inlineStr">
        <is>
          <t>Energía eléctrica y conectividad</t>
        </is>
      </c>
      <c r="N24" s="14" t="n">
        <v>1</v>
      </c>
      <c r="O24" s="15" t="n">
        <v>10</v>
      </c>
      <c r="P24" s="15">
        <f>N24*O24</f>
        <v/>
      </c>
    </row>
    <row r="25">
      <c r="B25" s="16" t="n"/>
      <c r="C25" s="17" t="inlineStr">
        <is>
          <t>SUB TOTAL ACTIVIDAD</t>
        </is>
      </c>
      <c r="D25" s="18">
        <f>SUM(G24:G24)</f>
        <v/>
      </c>
      <c r="E25" s="16" t="n"/>
      <c r="F25" s="16" t="n"/>
      <c r="G25" s="16" t="n"/>
      <c r="H25" s="18">
        <f>SUM(L24:L24)</f>
        <v/>
      </c>
      <c r="I25" s="16" t="n"/>
      <c r="J25" s="16" t="n"/>
      <c r="K25" s="16" t="n"/>
      <c r="L25" s="16" t="n"/>
      <c r="M25" s="18">
        <f>SUM(P24:P24)</f>
        <v/>
      </c>
      <c r="N25" s="16" t="n"/>
      <c r="O25" s="16" t="n"/>
      <c r="P25" s="16" t="n"/>
    </row>
    <row r="26">
      <c r="B26" s="19" t="n"/>
      <c r="C26" s="20" t="inlineStr">
        <is>
          <t>TOTAL ACTIVIDAD</t>
        </is>
      </c>
      <c r="D26" s="21">
        <f>D25+H25+M25</f>
        <v/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</row>
    <row r="27">
      <c r="B27" s="11" t="inlineStr">
        <is>
          <t>1.3.3</t>
        </is>
      </c>
      <c r="C27" s="12" t="inlineStr">
        <is>
          <t>Definir el presupuesto</t>
        </is>
      </c>
      <c r="D27" s="13" t="inlineStr">
        <is>
          <t>Estibb Anhuaman (Frontend)</t>
        </is>
      </c>
      <c r="E27" s="14" t="n">
        <v>2.5</v>
      </c>
      <c r="F27" s="15" t="n">
        <v>16</v>
      </c>
      <c r="G27" s="15">
        <f>E27*F27</f>
        <v/>
      </c>
      <c r="H27" s="13" t="inlineStr">
        <is>
          <t>Alquiler Laptop desarrollo</t>
        </is>
      </c>
      <c r="I27" s="14" t="n">
        <v>1</v>
      </c>
      <c r="J27" s="15" t="n">
        <v>5</v>
      </c>
      <c r="K27" s="14" t="n">
        <v>2</v>
      </c>
      <c r="L27" s="15">
        <f>I27*J27*K27</f>
        <v/>
      </c>
      <c r="M27" s="13" t="inlineStr">
        <is>
          <t>Energía eléctrica y conectividad</t>
        </is>
      </c>
      <c r="N27" s="14" t="n">
        <v>1</v>
      </c>
      <c r="O27" s="15" t="n">
        <v>10</v>
      </c>
      <c r="P27" s="15">
        <f>N27*O27</f>
        <v/>
      </c>
    </row>
    <row r="28">
      <c r="B28" s="16" t="n"/>
      <c r="C28" s="17" t="inlineStr">
        <is>
          <t>SUB TOTAL ACTIVIDAD</t>
        </is>
      </c>
      <c r="D28" s="18">
        <f>SUM(G27:G27)</f>
        <v/>
      </c>
      <c r="E28" s="16" t="n"/>
      <c r="F28" s="16" t="n"/>
      <c r="G28" s="16" t="n"/>
      <c r="H28" s="18">
        <f>SUM(L27:L27)</f>
        <v/>
      </c>
      <c r="I28" s="16" t="n"/>
      <c r="J28" s="16" t="n"/>
      <c r="K28" s="16" t="n"/>
      <c r="L28" s="16" t="n"/>
      <c r="M28" s="18">
        <f>SUM(P27:P27)</f>
        <v/>
      </c>
      <c r="N28" s="16" t="n"/>
      <c r="O28" s="16" t="n"/>
      <c r="P28" s="16" t="n"/>
    </row>
    <row r="29">
      <c r="B29" s="19" t="n"/>
      <c r="C29" s="20" t="inlineStr">
        <is>
          <t>TOTAL ACTIVIDAD</t>
        </is>
      </c>
      <c r="D29" s="21">
        <f>D28+H28+M28</f>
        <v/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>
      <c r="B30" s="11" t="inlineStr">
        <is>
          <t>1.3.4</t>
        </is>
      </c>
      <c r="C30" s="12" t="inlineStr">
        <is>
          <t>Definir el plan de recursos</t>
        </is>
      </c>
      <c r="D30" s="13" t="inlineStr">
        <is>
          <t>Gerardo Plasencia (Líder)</t>
        </is>
      </c>
      <c r="E30" s="14" t="n">
        <v>1.5</v>
      </c>
      <c r="F30" s="15" t="n">
        <v>16</v>
      </c>
      <c r="G30" s="15">
        <f>E30*F30</f>
        <v/>
      </c>
      <c r="H30" s="13" t="inlineStr">
        <is>
          <t>Alquiler Laptop desarrollo</t>
        </is>
      </c>
      <c r="I30" s="14" t="n">
        <v>1</v>
      </c>
      <c r="J30" s="15" t="n">
        <v>5</v>
      </c>
      <c r="K30" s="14" t="n">
        <v>2</v>
      </c>
      <c r="L30" s="15">
        <f>I30*J30*K30</f>
        <v/>
      </c>
      <c r="M30" s="13" t="inlineStr">
        <is>
          <t>Energía eléctrica y conectividad</t>
        </is>
      </c>
      <c r="N30" s="14" t="n">
        <v>1</v>
      </c>
      <c r="O30" s="15" t="n">
        <v>6</v>
      </c>
      <c r="P30" s="15">
        <f>N30*O30</f>
        <v/>
      </c>
    </row>
    <row r="31">
      <c r="B31" s="16" t="n"/>
      <c r="C31" s="17" t="inlineStr">
        <is>
          <t>SUB TOTAL ACTIVIDAD</t>
        </is>
      </c>
      <c r="D31" s="18">
        <f>SUM(G30:G30)</f>
        <v/>
      </c>
      <c r="E31" s="16" t="n"/>
      <c r="F31" s="16" t="n"/>
      <c r="G31" s="16" t="n"/>
      <c r="H31" s="18">
        <f>SUM(L30:L30)</f>
        <v/>
      </c>
      <c r="I31" s="16" t="n"/>
      <c r="J31" s="16" t="n"/>
      <c r="K31" s="16" t="n"/>
      <c r="L31" s="16" t="n"/>
      <c r="M31" s="18">
        <f>SUM(P30:P30)</f>
        <v/>
      </c>
      <c r="N31" s="16" t="n"/>
      <c r="O31" s="16" t="n"/>
      <c r="P31" s="16" t="n"/>
    </row>
    <row r="32">
      <c r="B32" s="19" t="n"/>
      <c r="C32" s="20" t="inlineStr">
        <is>
          <t>TOTAL ACTIVIDAD</t>
        </is>
      </c>
      <c r="D32" s="21">
        <f>D31+H31+M31</f>
        <v/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>
      <c r="B33" s="11" t="inlineStr">
        <is>
          <t>1.4.1</t>
        </is>
      </c>
      <c r="C33" s="12" t="inlineStr">
        <is>
          <t>Planificar la gestión del proyecto</t>
        </is>
      </c>
      <c r="D33" s="13" t="inlineStr">
        <is>
          <t>Gerardo Plasencia (Líder)</t>
        </is>
      </c>
      <c r="E33" s="14" t="n">
        <v>2.5</v>
      </c>
      <c r="F33" s="15" t="n">
        <v>16</v>
      </c>
      <c r="G33" s="15">
        <f>E33*F33</f>
        <v/>
      </c>
      <c r="H33" s="13" t="inlineStr">
        <is>
          <t>Alquiler Laptop desarrollo</t>
        </is>
      </c>
      <c r="I33" s="14" t="n">
        <v>1</v>
      </c>
      <c r="J33" s="15" t="n">
        <v>5</v>
      </c>
      <c r="K33" s="14" t="n">
        <v>2</v>
      </c>
      <c r="L33" s="15">
        <f>I33*J33*K33</f>
        <v/>
      </c>
      <c r="M33" s="13" t="inlineStr">
        <is>
          <t>Energía eléctrica y conectividad</t>
        </is>
      </c>
      <c r="N33" s="14" t="n">
        <v>1</v>
      </c>
      <c r="O33" s="15" t="n">
        <v>10</v>
      </c>
      <c r="P33" s="15">
        <f>N33*O33</f>
        <v/>
      </c>
    </row>
    <row r="34">
      <c r="B34" s="16" t="n"/>
      <c r="C34" s="17" t="inlineStr">
        <is>
          <t>SUB TOTAL ACTIVIDAD</t>
        </is>
      </c>
      <c r="D34" s="18">
        <f>SUM(G33:G33)</f>
        <v/>
      </c>
      <c r="E34" s="16" t="n"/>
      <c r="F34" s="16" t="n"/>
      <c r="G34" s="16" t="n"/>
      <c r="H34" s="18">
        <f>SUM(L33:L33)</f>
        <v/>
      </c>
      <c r="I34" s="16" t="n"/>
      <c r="J34" s="16" t="n"/>
      <c r="K34" s="16" t="n"/>
      <c r="L34" s="16" t="n"/>
      <c r="M34" s="18">
        <f>SUM(P33:P33)</f>
        <v/>
      </c>
      <c r="N34" s="16" t="n"/>
      <c r="O34" s="16" t="n"/>
      <c r="P34" s="16" t="n"/>
    </row>
    <row r="35">
      <c r="B35" s="19" t="n"/>
      <c r="C35" s="20" t="inlineStr">
        <is>
          <t>TOTAL ACTIVIDAD</t>
        </is>
      </c>
      <c r="D35" s="21">
        <f>D34+H34+M34</f>
        <v/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</row>
    <row r="36">
      <c r="B36" s="11" t="inlineStr">
        <is>
          <t>1.4.2</t>
        </is>
      </c>
      <c r="C36" s="12" t="inlineStr">
        <is>
          <t>Gestionar los riesgos</t>
        </is>
      </c>
      <c r="D36" s="13" t="inlineStr">
        <is>
          <t>Diego Rodríguez (Backend)</t>
        </is>
      </c>
      <c r="E36" s="14" t="n">
        <v>2.5</v>
      </c>
      <c r="F36" s="15" t="n">
        <v>16</v>
      </c>
      <c r="G36" s="15">
        <f>E36*F36</f>
        <v/>
      </c>
      <c r="H36" s="13" t="inlineStr">
        <is>
          <t>Alquiler Laptop desarrollo</t>
        </is>
      </c>
      <c r="I36" s="14" t="n">
        <v>1</v>
      </c>
      <c r="J36" s="15" t="n">
        <v>5</v>
      </c>
      <c r="K36" s="14" t="n">
        <v>2</v>
      </c>
      <c r="L36" s="15">
        <f>I36*J36*K36</f>
        <v/>
      </c>
      <c r="M36" s="13" t="inlineStr">
        <is>
          <t>Energía eléctrica y conectividad</t>
        </is>
      </c>
      <c r="N36" s="14" t="n">
        <v>1</v>
      </c>
      <c r="O36" s="15" t="n">
        <v>10</v>
      </c>
      <c r="P36" s="15">
        <f>N36*O36</f>
        <v/>
      </c>
    </row>
    <row r="37">
      <c r="B37" s="16" t="n"/>
      <c r="C37" s="17" t="inlineStr">
        <is>
          <t>SUB TOTAL ACTIVIDAD</t>
        </is>
      </c>
      <c r="D37" s="18">
        <f>SUM(G36:G36)</f>
        <v/>
      </c>
      <c r="E37" s="16" t="n"/>
      <c r="F37" s="16" t="n"/>
      <c r="G37" s="16" t="n"/>
      <c r="H37" s="18">
        <f>SUM(L36:L36)</f>
        <v/>
      </c>
      <c r="I37" s="16" t="n"/>
      <c r="J37" s="16" t="n"/>
      <c r="K37" s="16" t="n"/>
      <c r="L37" s="16" t="n"/>
      <c r="M37" s="18">
        <f>SUM(P36:P36)</f>
        <v/>
      </c>
      <c r="N37" s="16" t="n"/>
      <c r="O37" s="16" t="n"/>
      <c r="P37" s="16" t="n"/>
    </row>
    <row r="38">
      <c r="B38" s="19" t="n"/>
      <c r="C38" s="20" t="inlineStr">
        <is>
          <t>TOTAL ACTIVIDAD</t>
        </is>
      </c>
      <c r="D38" s="21">
        <f>D37+H37+M37</f>
        <v/>
      </c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</row>
    <row r="39">
      <c r="B39" s="11" t="inlineStr">
        <is>
          <t>1.4.3</t>
        </is>
      </c>
      <c r="C39" s="12" t="inlineStr">
        <is>
          <t>Planificar las comunicaciones</t>
        </is>
      </c>
      <c r="D39" s="13" t="inlineStr">
        <is>
          <t>Estibb Anhuaman (Frontend)</t>
        </is>
      </c>
      <c r="E39" s="14" t="n">
        <v>2.5</v>
      </c>
      <c r="F39" s="15" t="n">
        <v>16</v>
      </c>
      <c r="G39" s="15">
        <f>E39*F39</f>
        <v/>
      </c>
      <c r="H39" s="13" t="inlineStr">
        <is>
          <t>Alquiler Laptop desarrollo</t>
        </is>
      </c>
      <c r="I39" s="14" t="n">
        <v>1</v>
      </c>
      <c r="J39" s="15" t="n">
        <v>5</v>
      </c>
      <c r="K39" s="14" t="n">
        <v>2</v>
      </c>
      <c r="L39" s="15">
        <f>I39*J39*K39</f>
        <v/>
      </c>
      <c r="M39" s="13" t="inlineStr">
        <is>
          <t>Energía eléctrica y conectividad</t>
        </is>
      </c>
      <c r="N39" s="14" t="n">
        <v>1</v>
      </c>
      <c r="O39" s="15" t="n">
        <v>10</v>
      </c>
      <c r="P39" s="15">
        <f>N39*O39</f>
        <v/>
      </c>
    </row>
    <row r="40">
      <c r="B40" s="16" t="n"/>
      <c r="C40" s="17" t="inlineStr">
        <is>
          <t>SUB TOTAL ACTIVIDAD</t>
        </is>
      </c>
      <c r="D40" s="18">
        <f>SUM(G39:G39)</f>
        <v/>
      </c>
      <c r="E40" s="16" t="n"/>
      <c r="F40" s="16" t="n"/>
      <c r="G40" s="16" t="n"/>
      <c r="H40" s="18">
        <f>SUM(L39:L39)</f>
        <v/>
      </c>
      <c r="I40" s="16" t="n"/>
      <c r="J40" s="16" t="n"/>
      <c r="K40" s="16" t="n"/>
      <c r="L40" s="16" t="n"/>
      <c r="M40" s="18">
        <f>SUM(P39:P39)</f>
        <v/>
      </c>
      <c r="N40" s="16" t="n"/>
      <c r="O40" s="16" t="n"/>
      <c r="P40" s="16" t="n"/>
    </row>
    <row r="41">
      <c r="B41" s="19" t="n"/>
      <c r="C41" s="20" t="inlineStr">
        <is>
          <t>TOTAL ACTIVIDAD</t>
        </is>
      </c>
      <c r="D41" s="21">
        <f>D40+H40+M40</f>
        <v/>
      </c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>
      <c r="B42" s="11" t="inlineStr">
        <is>
          <t>1.4.4</t>
        </is>
      </c>
      <c r="C42" s="12" t="inlineStr">
        <is>
          <t>Asignar responsabilidades RACI</t>
        </is>
      </c>
      <c r="D42" s="13" t="inlineStr">
        <is>
          <t>Gerardo Plasencia (Líder)</t>
        </is>
      </c>
      <c r="E42" s="14" t="n">
        <v>2.5</v>
      </c>
      <c r="F42" s="15" t="n">
        <v>16</v>
      </c>
      <c r="G42" s="15">
        <f>E42*F42</f>
        <v/>
      </c>
      <c r="H42" s="13" t="inlineStr">
        <is>
          <t>Alquiler Laptop desarrollo</t>
        </is>
      </c>
      <c r="I42" s="14" t="n">
        <v>1</v>
      </c>
      <c r="J42" s="15" t="n">
        <v>5</v>
      </c>
      <c r="K42" s="14" t="n">
        <v>2</v>
      </c>
      <c r="L42" s="15">
        <f>I42*J42*K42</f>
        <v/>
      </c>
      <c r="M42" s="13" t="inlineStr">
        <is>
          <t>Energía eléctrica y conectividad</t>
        </is>
      </c>
      <c r="N42" s="14" t="n">
        <v>1</v>
      </c>
      <c r="O42" s="15" t="n">
        <v>10</v>
      </c>
      <c r="P42" s="15">
        <f>N42*O42</f>
        <v/>
      </c>
    </row>
    <row r="43">
      <c r="B43" s="16" t="n"/>
      <c r="C43" s="17" t="inlineStr">
        <is>
          <t>SUB TOTAL ACTIVIDAD</t>
        </is>
      </c>
      <c r="D43" s="18">
        <f>SUM(G42:G42)</f>
        <v/>
      </c>
      <c r="E43" s="16" t="n"/>
      <c r="F43" s="16" t="n"/>
      <c r="G43" s="16" t="n"/>
      <c r="H43" s="18">
        <f>SUM(L42:L42)</f>
        <v/>
      </c>
      <c r="I43" s="16" t="n"/>
      <c r="J43" s="16" t="n"/>
      <c r="K43" s="16" t="n"/>
      <c r="L43" s="16" t="n"/>
      <c r="M43" s="18">
        <f>SUM(P42:P42)</f>
        <v/>
      </c>
      <c r="N43" s="16" t="n"/>
      <c r="O43" s="16" t="n"/>
      <c r="P43" s="16" t="n"/>
    </row>
    <row r="44">
      <c r="B44" s="19" t="n"/>
      <c r="C44" s="20" t="inlineStr">
        <is>
          <t>TOTAL ACTIVIDAD</t>
        </is>
      </c>
      <c r="D44" s="21">
        <f>D43+H43+M43</f>
        <v/>
      </c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>
      <c r="B45" s="11" t="inlineStr">
        <is>
          <t>1.4.5</t>
        </is>
      </c>
      <c r="C45" s="12" t="inlineStr">
        <is>
          <t>Definir el plan de calidad</t>
        </is>
      </c>
      <c r="D45" s="13" t="inlineStr">
        <is>
          <t>Diego Rodríguez (Backend)</t>
        </is>
      </c>
      <c r="E45" s="14" t="n">
        <v>2.5</v>
      </c>
      <c r="F45" s="15" t="n">
        <v>16</v>
      </c>
      <c r="G45" s="15">
        <f>E45*F45</f>
        <v/>
      </c>
      <c r="H45" s="13" t="inlineStr">
        <is>
          <t>Alquiler Laptop desarrollo</t>
        </is>
      </c>
      <c r="I45" s="14" t="n">
        <v>1</v>
      </c>
      <c r="J45" s="15" t="n">
        <v>5</v>
      </c>
      <c r="K45" s="14" t="n">
        <v>2</v>
      </c>
      <c r="L45" s="15">
        <f>I45*J45*K45</f>
        <v/>
      </c>
      <c r="M45" s="13" t="inlineStr">
        <is>
          <t>Energía eléctrica y conectividad</t>
        </is>
      </c>
      <c r="N45" s="14" t="n">
        <v>1</v>
      </c>
      <c r="O45" s="15" t="n">
        <v>10</v>
      </c>
      <c r="P45" s="15">
        <f>N45*O45</f>
        <v/>
      </c>
    </row>
    <row r="46">
      <c r="B46" s="16" t="n"/>
      <c r="C46" s="17" t="inlineStr">
        <is>
          <t>SUB TOTAL ACTIVIDAD</t>
        </is>
      </c>
      <c r="D46" s="18">
        <f>SUM(G45:G45)</f>
        <v/>
      </c>
      <c r="E46" s="16" t="n"/>
      <c r="F46" s="16" t="n"/>
      <c r="G46" s="16" t="n"/>
      <c r="H46" s="18">
        <f>SUM(L45:L45)</f>
        <v/>
      </c>
      <c r="I46" s="16" t="n"/>
      <c r="J46" s="16" t="n"/>
      <c r="K46" s="16" t="n"/>
      <c r="L46" s="16" t="n"/>
      <c r="M46" s="18">
        <f>SUM(P45:P45)</f>
        <v/>
      </c>
      <c r="N46" s="16" t="n"/>
      <c r="O46" s="16" t="n"/>
      <c r="P46" s="16" t="n"/>
    </row>
    <row r="47">
      <c r="B47" s="19" t="n"/>
      <c r="C47" s="20" t="inlineStr">
        <is>
          <t>TOTAL ACTIVIDAD</t>
        </is>
      </c>
      <c r="D47" s="21">
        <f>D46+H46+M46</f>
        <v/>
      </c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</row>
    <row r="48">
      <c r="B48" s="11" t="inlineStr">
        <is>
          <t>1.4.6</t>
        </is>
      </c>
      <c r="C48" s="12" t="inlineStr">
        <is>
          <t>Definir el plan de seguridad</t>
        </is>
      </c>
      <c r="D48" s="13" t="inlineStr">
        <is>
          <t>Gerardo Plasencia (Líder)</t>
        </is>
      </c>
      <c r="E48" s="14" t="n">
        <v>2.5</v>
      </c>
      <c r="F48" s="15" t="n">
        <v>16</v>
      </c>
      <c r="G48" s="15">
        <f>E48*F48</f>
        <v/>
      </c>
      <c r="H48" s="13" t="inlineStr">
        <is>
          <t>Alquiler Laptop desarrollo</t>
        </is>
      </c>
      <c r="I48" s="14" t="n">
        <v>1</v>
      </c>
      <c r="J48" s="15" t="n">
        <v>5</v>
      </c>
      <c r="K48" s="14" t="n">
        <v>2</v>
      </c>
      <c r="L48" s="15">
        <f>I48*J48*K48</f>
        <v/>
      </c>
      <c r="M48" s="13" t="inlineStr">
        <is>
          <t>Energía eléctrica y conectividad</t>
        </is>
      </c>
      <c r="N48" s="14" t="n">
        <v>1</v>
      </c>
      <c r="O48" s="15" t="n">
        <v>10</v>
      </c>
      <c r="P48" s="15">
        <f>N48*O48</f>
        <v/>
      </c>
    </row>
    <row r="49">
      <c r="B49" s="16" t="n"/>
      <c r="C49" s="17" t="inlineStr">
        <is>
          <t>SUB TOTAL ACTIVIDAD</t>
        </is>
      </c>
      <c r="D49" s="18">
        <f>SUM(G48:G48)</f>
        <v/>
      </c>
      <c r="E49" s="16" t="n"/>
      <c r="F49" s="16" t="n"/>
      <c r="G49" s="16" t="n"/>
      <c r="H49" s="18">
        <f>SUM(L48:L48)</f>
        <v/>
      </c>
      <c r="I49" s="16" t="n"/>
      <c r="J49" s="16" t="n"/>
      <c r="K49" s="16" t="n"/>
      <c r="L49" s="16" t="n"/>
      <c r="M49" s="18">
        <f>SUM(P48:P48)</f>
        <v/>
      </c>
      <c r="N49" s="16" t="n"/>
      <c r="O49" s="16" t="n"/>
      <c r="P49" s="16" t="n"/>
    </row>
    <row r="50">
      <c r="B50" s="19" t="n"/>
      <c r="C50" s="20" t="inlineStr">
        <is>
          <t>TOTAL ACTIVIDAD</t>
        </is>
      </c>
      <c r="D50" s="21">
        <f>D49+H49+M49</f>
        <v/>
      </c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</row>
    <row r="51">
      <c r="B51" s="11" t="inlineStr">
        <is>
          <t>1.4.7</t>
        </is>
      </c>
      <c r="C51" s="12" t="inlineStr">
        <is>
          <t>Planificar el involucramiento de interesados</t>
        </is>
      </c>
      <c r="D51" s="13" t="inlineStr">
        <is>
          <t>Estibb Anhuaman (Frontend)</t>
        </is>
      </c>
      <c r="E51" s="14" t="n">
        <v>2.5</v>
      </c>
      <c r="F51" s="15" t="n">
        <v>16</v>
      </c>
      <c r="G51" s="15">
        <f>E51*F51</f>
        <v/>
      </c>
      <c r="H51" s="13" t="inlineStr">
        <is>
          <t>Alquiler Laptop desarrollo</t>
        </is>
      </c>
      <c r="I51" s="14" t="n">
        <v>1</v>
      </c>
      <c r="J51" s="15" t="n">
        <v>5</v>
      </c>
      <c r="K51" s="14" t="n">
        <v>2</v>
      </c>
      <c r="L51" s="15">
        <f>I51*J51*K51</f>
        <v/>
      </c>
      <c r="M51" s="13" t="inlineStr">
        <is>
          <t>Energía eléctrica y conectividad</t>
        </is>
      </c>
      <c r="N51" s="14" t="n">
        <v>1</v>
      </c>
      <c r="O51" s="15" t="n">
        <v>10</v>
      </c>
      <c r="P51" s="15">
        <f>N51*O51</f>
        <v/>
      </c>
    </row>
    <row r="52">
      <c r="B52" s="16" t="n"/>
      <c r="C52" s="17" t="inlineStr">
        <is>
          <t>SUB TOTAL ACTIVIDAD</t>
        </is>
      </c>
      <c r="D52" s="18">
        <f>SUM(G51:G51)</f>
        <v/>
      </c>
      <c r="E52" s="16" t="n"/>
      <c r="F52" s="16" t="n"/>
      <c r="G52" s="16" t="n"/>
      <c r="H52" s="18">
        <f>SUM(L51:L51)</f>
        <v/>
      </c>
      <c r="I52" s="16" t="n"/>
      <c r="J52" s="16" t="n"/>
      <c r="K52" s="16" t="n"/>
      <c r="L52" s="16" t="n"/>
      <c r="M52" s="18">
        <f>SUM(P51:P51)</f>
        <v/>
      </c>
      <c r="N52" s="16" t="n"/>
      <c r="O52" s="16" t="n"/>
      <c r="P52" s="16" t="n"/>
    </row>
    <row r="53">
      <c r="B53" s="19" t="n"/>
      <c r="C53" s="20" t="inlineStr">
        <is>
          <t>TOTAL ACTIVIDAD</t>
        </is>
      </c>
      <c r="D53" s="21">
        <f>D52+H52+M52</f>
        <v/>
      </c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>
      <c r="B54" s="22" t="inlineStr">
        <is>
          <t>SUB TOTAL PAQUETE</t>
        </is>
      </c>
      <c r="C54" s="16" t="n"/>
      <c r="D54" s="23">
        <f>SUM(D8,D12,D16,D19,D22,D25,D28,D31,D34,D37,D40,D43,D46,D49,D52)</f>
        <v/>
      </c>
      <c r="E54" s="16" t="n"/>
      <c r="F54" s="16" t="n"/>
      <c r="G54" s="16" t="n"/>
      <c r="H54" s="23">
        <f>SUM(H8,H12,H16,H19,H22,H25,H28,H31,H34,H37,H40,H43,H46,H49,H52)</f>
        <v/>
      </c>
      <c r="I54" s="16" t="n"/>
      <c r="J54" s="16" t="n"/>
      <c r="K54" s="16" t="n"/>
      <c r="L54" s="16" t="n"/>
      <c r="M54" s="23">
        <f>SUM(M8,M12,M16,M19,M22,M25,M28,M31,M34,M37,M40,M43,M46,M49,M52)</f>
        <v/>
      </c>
      <c r="N54" s="16" t="n"/>
      <c r="O54" s="16" t="n"/>
      <c r="P54" s="16" t="n"/>
    </row>
    <row r="55">
      <c r="B55" s="24" t="inlineStr">
        <is>
          <t>TOTAL PAQUETE</t>
        </is>
      </c>
      <c r="C55" s="19" t="n"/>
      <c r="D55" s="25">
        <f>D54+H54+M54</f>
        <v/>
      </c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7">
      <c r="B57" s="1" t="inlineStr">
        <is>
          <t>PAQUETE DE TRABAJO / ENTREGABLE</t>
        </is>
      </c>
      <c r="D57" s="2" t="inlineStr">
        <is>
          <t>EDT 2.0 — ANÁLISIS Y ESPECIFICACIÓN DE REQUERIMIENTOS</t>
        </is>
      </c>
    </row>
    <row r="58">
      <c r="B58" s="3" t="inlineStr">
        <is>
          <t>ACTIVIDAD</t>
        </is>
      </c>
      <c r="D58" s="3" t="inlineStr">
        <is>
          <t>COSTOS</t>
        </is>
      </c>
    </row>
    <row r="59">
      <c r="B59" s="4" t="inlineStr">
        <is>
          <t>CODIGO</t>
        </is>
      </c>
      <c r="C59" s="4" t="inlineStr">
        <is>
          <t>DESCRIPCION</t>
        </is>
      </c>
      <c r="D59" s="5" t="inlineStr">
        <is>
          <t>RECURSOS HUMANOS</t>
        </is>
      </c>
      <c r="E59" s="6" t="n"/>
      <c r="F59" s="6" t="n"/>
      <c r="G59" s="6" t="n"/>
      <c r="H59" s="7" t="inlineStr">
        <is>
          <t>MAQUINARIA/EQUIPOS/INFRAESTRUCTURA</t>
        </is>
      </c>
      <c r="I59" s="8" t="n"/>
      <c r="J59" s="8" t="n"/>
      <c r="K59" s="8" t="n"/>
      <c r="L59" s="8" t="n"/>
      <c r="M59" s="9" t="inlineStr">
        <is>
          <t>CONSUMIBLES/SERVICIOS</t>
        </is>
      </c>
      <c r="N59" s="10" t="n"/>
      <c r="O59" s="10" t="n"/>
      <c r="P59" s="10" t="n"/>
    </row>
    <row r="60">
      <c r="D60" s="5" t="inlineStr">
        <is>
          <t>Nombre del Recurso</t>
        </is>
      </c>
      <c r="E60" s="5" t="inlineStr">
        <is>
          <t>Numero de Horas</t>
        </is>
      </c>
      <c r="F60" s="5" t="inlineStr">
        <is>
          <t>Costo x Hora</t>
        </is>
      </c>
      <c r="G60" s="5" t="inlineStr">
        <is>
          <t>Costo Total</t>
        </is>
      </c>
      <c r="H60" s="7" t="inlineStr">
        <is>
          <t>Nombre del Recurso</t>
        </is>
      </c>
      <c r="I60" s="7" t="inlineStr">
        <is>
          <t>Cantidad</t>
        </is>
      </c>
      <c r="J60" s="7" t="inlineStr">
        <is>
          <t>Costo x día</t>
        </is>
      </c>
      <c r="K60" s="7" t="inlineStr">
        <is>
          <t>Nro. De días</t>
        </is>
      </c>
      <c r="L60" s="7" t="inlineStr">
        <is>
          <t>Total</t>
        </is>
      </c>
      <c r="M60" s="9" t="inlineStr">
        <is>
          <t>Nombre del Recurso</t>
        </is>
      </c>
      <c r="N60" s="9" t="inlineStr">
        <is>
          <t>Cantidad</t>
        </is>
      </c>
      <c r="O60" s="9" t="inlineStr">
        <is>
          <t>Costo Unitario</t>
        </is>
      </c>
      <c r="P60" s="9" t="inlineStr">
        <is>
          <t>IMPORTE</t>
        </is>
      </c>
    </row>
    <row r="61">
      <c r="B61" s="11" t="inlineStr">
        <is>
          <t>2.1.1</t>
        </is>
      </c>
      <c r="C61" s="12" t="inlineStr">
        <is>
          <t>Especificar los requerimientos (SRS IEEE 830)</t>
        </is>
      </c>
      <c r="D61" s="13" t="inlineStr">
        <is>
          <t>Gerardo Plasencia (Líder)</t>
        </is>
      </c>
      <c r="E61" s="14" t="n">
        <v>4</v>
      </c>
      <c r="F61" s="15" t="n">
        <v>18</v>
      </c>
      <c r="G61" s="15">
        <f>E61*F61</f>
        <v/>
      </c>
      <c r="H61" s="13" t="inlineStr">
        <is>
          <t>Alquiler Laptops desarrollo</t>
        </is>
      </c>
      <c r="I61" s="14" t="n">
        <v>2</v>
      </c>
      <c r="J61" s="15" t="n">
        <v>5</v>
      </c>
      <c r="K61" s="14" t="n">
        <v>3</v>
      </c>
      <c r="L61" s="15">
        <f>I61*J61*K61</f>
        <v/>
      </c>
      <c r="M61" s="13" t="inlineStr">
        <is>
          <t>Energía eléctrica estaciones de trabajo</t>
        </is>
      </c>
      <c r="N61" s="14" t="n">
        <v>1</v>
      </c>
      <c r="O61" s="15" t="n">
        <v>14</v>
      </c>
      <c r="P61" s="15">
        <f>N61*O61</f>
        <v/>
      </c>
    </row>
    <row r="62">
      <c r="B62" s="16" t="n"/>
      <c r="C62" s="16" t="n"/>
      <c r="D62" s="13" t="inlineStr">
        <is>
          <t>Estibb Anhuaman (Frontend)</t>
        </is>
      </c>
      <c r="E62" s="14" t="n">
        <v>4</v>
      </c>
      <c r="F62" s="15" t="n">
        <v>16</v>
      </c>
      <c r="G62" s="15">
        <f>E62*F62</f>
        <v/>
      </c>
      <c r="H62" s="16" t="n"/>
      <c r="I62" s="16" t="n"/>
      <c r="J62" s="16" t="n"/>
      <c r="K62" s="16" t="n"/>
      <c r="L62" s="16" t="n"/>
      <c r="M62" s="13" t="inlineStr">
        <is>
          <t>Servicio de internet y entrevistas</t>
        </is>
      </c>
      <c r="N62" s="14" t="n">
        <v>1</v>
      </c>
      <c r="O62" s="15" t="n">
        <v>10</v>
      </c>
      <c r="P62" s="15">
        <f>N62*O62</f>
        <v/>
      </c>
    </row>
    <row r="63">
      <c r="B63" s="16" t="n"/>
      <c r="C63" s="17" t="inlineStr">
        <is>
          <t>SUB TOTAL ACTIVIDAD</t>
        </is>
      </c>
      <c r="D63" s="18">
        <f>SUM(G61:G62)</f>
        <v/>
      </c>
      <c r="E63" s="16" t="n"/>
      <c r="F63" s="16" t="n"/>
      <c r="G63" s="16" t="n"/>
      <c r="H63" s="18">
        <f>SUM(L61:L62)</f>
        <v/>
      </c>
      <c r="I63" s="16" t="n"/>
      <c r="J63" s="16" t="n"/>
      <c r="K63" s="16" t="n"/>
      <c r="L63" s="16" t="n"/>
      <c r="M63" s="18">
        <f>SUM(P61:P62)</f>
        <v/>
      </c>
      <c r="N63" s="16" t="n"/>
      <c r="O63" s="16" t="n"/>
      <c r="P63" s="16" t="n"/>
    </row>
    <row r="64">
      <c r="B64" s="19" t="n"/>
      <c r="C64" s="20" t="inlineStr">
        <is>
          <t>TOTAL ACTIVIDAD</t>
        </is>
      </c>
      <c r="D64" s="21">
        <f>D63+H63+M63</f>
        <v/>
      </c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>
      <c r="B65" s="11" t="inlineStr">
        <is>
          <t>2.2.1</t>
        </is>
      </c>
      <c r="C65" s="12" t="inlineStr">
        <is>
          <t>Elaborar la estructura de análisis</t>
        </is>
      </c>
      <c r="D65" s="13" t="inlineStr">
        <is>
          <t>Diego Rodríguez (Backend)</t>
        </is>
      </c>
      <c r="E65" s="14" t="n">
        <v>4</v>
      </c>
      <c r="F65" s="15" t="n">
        <v>16</v>
      </c>
      <c r="G65" s="15">
        <f>E65*F65</f>
        <v/>
      </c>
      <c r="H65" s="13" t="inlineStr">
        <is>
          <t>Alquiler Laptop desarrollo</t>
        </is>
      </c>
      <c r="I65" s="14" t="n">
        <v>1</v>
      </c>
      <c r="J65" s="15" t="n">
        <v>5</v>
      </c>
      <c r="K65" s="14" t="n">
        <v>4</v>
      </c>
      <c r="L65" s="15">
        <f>I65*J65*K65</f>
        <v/>
      </c>
      <c r="M65" s="13" t="inlineStr">
        <is>
          <t>Energía eléctrica e internet</t>
        </is>
      </c>
      <c r="N65" s="14" t="n">
        <v>1</v>
      </c>
      <c r="O65" s="15" t="n">
        <v>16</v>
      </c>
      <c r="P65" s="15">
        <f>N65*O65</f>
        <v/>
      </c>
    </row>
    <row r="66">
      <c r="B66" s="16" t="n"/>
      <c r="C66" s="17" t="inlineStr">
        <is>
          <t>SUB TOTAL ACTIVIDAD</t>
        </is>
      </c>
      <c r="D66" s="18">
        <f>SUM(G65:G65)</f>
        <v/>
      </c>
      <c r="E66" s="16" t="n"/>
      <c r="F66" s="16" t="n"/>
      <c r="G66" s="16" t="n"/>
      <c r="H66" s="18">
        <f>SUM(L65:L65)</f>
        <v/>
      </c>
      <c r="I66" s="16" t="n"/>
      <c r="J66" s="16" t="n"/>
      <c r="K66" s="16" t="n"/>
      <c r="L66" s="16" t="n"/>
      <c r="M66" s="18">
        <f>SUM(P65:P65)</f>
        <v/>
      </c>
      <c r="N66" s="16" t="n"/>
      <c r="O66" s="16" t="n"/>
      <c r="P66" s="16" t="n"/>
    </row>
    <row r="67">
      <c r="B67" s="19" t="n"/>
      <c r="C67" s="20" t="inlineStr">
        <is>
          <t>TOTAL ACTIVIDAD</t>
        </is>
      </c>
      <c r="D67" s="21">
        <f>D66+H66+M66</f>
        <v/>
      </c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>
      <c r="B68" s="11" t="inlineStr">
        <is>
          <t>2.3.1</t>
        </is>
      </c>
      <c r="C68" s="12" t="inlineStr">
        <is>
          <t>Elaborar la matriz de consistencia</t>
        </is>
      </c>
      <c r="D68" s="13" t="inlineStr">
        <is>
          <t>Gerardo Plasencia (Líder)</t>
        </is>
      </c>
      <c r="E68" s="14" t="n">
        <v>4</v>
      </c>
      <c r="F68" s="15" t="n">
        <v>16</v>
      </c>
      <c r="G68" s="15">
        <f>E68*F68</f>
        <v/>
      </c>
      <c r="H68" s="13" t="inlineStr">
        <is>
          <t>Alquiler Laptop desarrollo</t>
        </is>
      </c>
      <c r="I68" s="14" t="n">
        <v>1</v>
      </c>
      <c r="J68" s="15" t="n">
        <v>5</v>
      </c>
      <c r="K68" s="14" t="n">
        <v>4</v>
      </c>
      <c r="L68" s="15">
        <f>I68*J68*K68</f>
        <v/>
      </c>
      <c r="M68" s="13" t="inlineStr">
        <is>
          <t>Energía eléctrica e internet</t>
        </is>
      </c>
      <c r="N68" s="14" t="n">
        <v>1</v>
      </c>
      <c r="O68" s="15" t="n">
        <v>16</v>
      </c>
      <c r="P68" s="15">
        <f>N68*O68</f>
        <v/>
      </c>
    </row>
    <row r="69">
      <c r="B69" s="16" t="n"/>
      <c r="C69" s="17" t="inlineStr">
        <is>
          <t>SUB TOTAL ACTIVIDAD</t>
        </is>
      </c>
      <c r="D69" s="18">
        <f>SUM(G68:G68)</f>
        <v/>
      </c>
      <c r="E69" s="16" t="n"/>
      <c r="F69" s="16" t="n"/>
      <c r="G69" s="16" t="n"/>
      <c r="H69" s="18">
        <f>SUM(L68:L68)</f>
        <v/>
      </c>
      <c r="I69" s="16" t="n"/>
      <c r="J69" s="16" t="n"/>
      <c r="K69" s="16" t="n"/>
      <c r="L69" s="16" t="n"/>
      <c r="M69" s="18">
        <f>SUM(P68:P68)</f>
        <v/>
      </c>
      <c r="N69" s="16" t="n"/>
      <c r="O69" s="16" t="n"/>
      <c r="P69" s="16" t="n"/>
    </row>
    <row r="70">
      <c r="B70" s="19" t="n"/>
      <c r="C70" s="20" t="inlineStr">
        <is>
          <t>TOTAL ACTIVIDAD</t>
        </is>
      </c>
      <c r="D70" s="21">
        <f>D69+H69+M69</f>
        <v/>
      </c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</row>
    <row r="71">
      <c r="B71" s="22" t="inlineStr">
        <is>
          <t>SUB TOTAL PAQUETE</t>
        </is>
      </c>
      <c r="C71" s="16" t="n"/>
      <c r="D71" s="23">
        <f>SUM(D63,D66,D69)</f>
        <v/>
      </c>
      <c r="E71" s="16" t="n"/>
      <c r="F71" s="16" t="n"/>
      <c r="G71" s="16" t="n"/>
      <c r="H71" s="23">
        <f>SUM(H63,H66,H69)</f>
        <v/>
      </c>
      <c r="I71" s="16" t="n"/>
      <c r="J71" s="16" t="n"/>
      <c r="K71" s="16" t="n"/>
      <c r="L71" s="16" t="n"/>
      <c r="M71" s="23">
        <f>SUM(M63,M66,M69)</f>
        <v/>
      </c>
      <c r="N71" s="16" t="n"/>
      <c r="O71" s="16" t="n"/>
      <c r="P71" s="16" t="n"/>
    </row>
    <row r="72">
      <c r="B72" s="24" t="inlineStr">
        <is>
          <t>TOTAL PAQUETE</t>
        </is>
      </c>
      <c r="C72" s="19" t="n"/>
      <c r="D72" s="25">
        <f>D71+H71+M71</f>
        <v/>
      </c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</row>
    <row r="74">
      <c r="B74" s="1" t="inlineStr">
        <is>
          <t>PAQUETE DE TRABAJO / ENTREGABLE</t>
        </is>
      </c>
      <c r="D74" s="2" t="inlineStr">
        <is>
          <t>EDT 3.0 — DISEÑO DE LA SOLUCIÓN Y ARQUITECTURA</t>
        </is>
      </c>
    </row>
    <row r="75">
      <c r="B75" s="3" t="inlineStr">
        <is>
          <t>ACTIVIDAD</t>
        </is>
      </c>
      <c r="D75" s="3" t="inlineStr">
        <is>
          <t>COSTOS</t>
        </is>
      </c>
    </row>
    <row r="76">
      <c r="B76" s="4" t="inlineStr">
        <is>
          <t>CODIGO</t>
        </is>
      </c>
      <c r="C76" s="4" t="inlineStr">
        <is>
          <t>DESCRIPCION</t>
        </is>
      </c>
      <c r="D76" s="5" t="inlineStr">
        <is>
          <t>RECURSOS HUMANOS</t>
        </is>
      </c>
      <c r="E76" s="6" t="n"/>
      <c r="F76" s="6" t="n"/>
      <c r="G76" s="6" t="n"/>
      <c r="H76" s="7" t="inlineStr">
        <is>
          <t>MAQUINARIA/EQUIPOS/INFRAESTRUCTURA</t>
        </is>
      </c>
      <c r="I76" s="8" t="n"/>
      <c r="J76" s="8" t="n"/>
      <c r="K76" s="8" t="n"/>
      <c r="L76" s="8" t="n"/>
      <c r="M76" s="9" t="inlineStr">
        <is>
          <t>CONSUMIBLES/SERVICIOS</t>
        </is>
      </c>
      <c r="N76" s="10" t="n"/>
      <c r="O76" s="10" t="n"/>
      <c r="P76" s="10" t="n"/>
    </row>
    <row r="77">
      <c r="D77" s="5" t="inlineStr">
        <is>
          <t>Nombre del Recurso</t>
        </is>
      </c>
      <c r="E77" s="5" t="inlineStr">
        <is>
          <t>Numero de Horas</t>
        </is>
      </c>
      <c r="F77" s="5" t="inlineStr">
        <is>
          <t>Costo x Hora</t>
        </is>
      </c>
      <c r="G77" s="5" t="inlineStr">
        <is>
          <t>Costo Total</t>
        </is>
      </c>
      <c r="H77" s="7" t="inlineStr">
        <is>
          <t>Nombre del Recurso</t>
        </is>
      </c>
      <c r="I77" s="7" t="inlineStr">
        <is>
          <t>Cantidad</t>
        </is>
      </c>
      <c r="J77" s="7" t="inlineStr">
        <is>
          <t>Costo x día</t>
        </is>
      </c>
      <c r="K77" s="7" t="inlineStr">
        <is>
          <t>Nro. De días</t>
        </is>
      </c>
      <c r="L77" s="7" t="inlineStr">
        <is>
          <t>Total</t>
        </is>
      </c>
      <c r="M77" s="9" t="inlineStr">
        <is>
          <t>Nombre del Recurso</t>
        </is>
      </c>
      <c r="N77" s="9" t="inlineStr">
        <is>
          <t>Cantidad</t>
        </is>
      </c>
      <c r="O77" s="9" t="inlineStr">
        <is>
          <t>Costo Unitario</t>
        </is>
      </c>
      <c r="P77" s="9" t="inlineStr">
        <is>
          <t>IMPORTE</t>
        </is>
      </c>
    </row>
    <row r="78">
      <c r="B78" s="11" t="inlineStr">
        <is>
          <t>3.1.1</t>
        </is>
      </c>
      <c r="C78" s="12" t="inlineStr">
        <is>
          <t>Diseñar la arquitectura del sistema VPS</t>
        </is>
      </c>
      <c r="D78" s="13" t="inlineStr">
        <is>
          <t>Gerardo Plasencia (Líder)</t>
        </is>
      </c>
      <c r="E78" s="14" t="n">
        <v>6</v>
      </c>
      <c r="F78" s="15" t="n">
        <v>16</v>
      </c>
      <c r="G78" s="15">
        <f>E78*F78</f>
        <v/>
      </c>
      <c r="H78" s="13" t="inlineStr">
        <is>
          <t>Alquiler Laptop desarrollo</t>
        </is>
      </c>
      <c r="I78" s="14" t="n">
        <v>1</v>
      </c>
      <c r="J78" s="15" t="n">
        <v>5</v>
      </c>
      <c r="K78" s="14" t="n">
        <v>6</v>
      </c>
      <c r="L78" s="15">
        <f>I78*J78*K78</f>
        <v/>
      </c>
      <c r="M78" s="13" t="inlineStr">
        <is>
          <t>Energía eléctrica e internet</t>
        </is>
      </c>
      <c r="N78" s="14" t="n">
        <v>1</v>
      </c>
      <c r="O78" s="15" t="n">
        <v>24</v>
      </c>
      <c r="P78" s="15">
        <f>N78*O78</f>
        <v/>
      </c>
    </row>
    <row r="79">
      <c r="B79" s="16" t="n"/>
      <c r="C79" s="17" t="inlineStr">
        <is>
          <t>SUB TOTAL ACTIVIDAD</t>
        </is>
      </c>
      <c r="D79" s="18">
        <f>SUM(G78:G78)</f>
        <v/>
      </c>
      <c r="E79" s="16" t="n"/>
      <c r="F79" s="16" t="n"/>
      <c r="G79" s="16" t="n"/>
      <c r="H79" s="18">
        <f>SUM(L78:L78)</f>
        <v/>
      </c>
      <c r="I79" s="16" t="n"/>
      <c r="J79" s="16" t="n"/>
      <c r="K79" s="16" t="n"/>
      <c r="L79" s="16" t="n"/>
      <c r="M79" s="18">
        <f>SUM(P78:P78)</f>
        <v/>
      </c>
      <c r="N79" s="16" t="n"/>
      <c r="O79" s="16" t="n"/>
      <c r="P79" s="16" t="n"/>
    </row>
    <row r="80">
      <c r="B80" s="19" t="n"/>
      <c r="C80" s="20" t="inlineStr">
        <is>
          <t>TOTAL ACTIVIDAD</t>
        </is>
      </c>
      <c r="D80" s="21">
        <f>D79+H79+M79</f>
        <v/>
      </c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</row>
    <row r="81">
      <c r="B81" s="11" t="inlineStr">
        <is>
          <t>3.2.1</t>
        </is>
      </c>
      <c r="C81" s="12" t="inlineStr">
        <is>
          <t>Elaborar modelado ágil e historias de usuario</t>
        </is>
      </c>
      <c r="D81" s="13" t="inlineStr">
        <is>
          <t>Estibb Anhuaman (Frontend)</t>
        </is>
      </c>
      <c r="E81" s="14" t="n">
        <v>4</v>
      </c>
      <c r="F81" s="15" t="n">
        <v>16</v>
      </c>
      <c r="G81" s="15">
        <f>E81*F81</f>
        <v/>
      </c>
      <c r="H81" s="13" t="inlineStr">
        <is>
          <t>Alquiler Laptop desarrollo</t>
        </is>
      </c>
      <c r="I81" s="14" t="n">
        <v>1</v>
      </c>
      <c r="J81" s="15" t="n">
        <v>5</v>
      </c>
      <c r="K81" s="14" t="n">
        <v>4</v>
      </c>
      <c r="L81" s="15">
        <f>I81*J81*K81</f>
        <v/>
      </c>
      <c r="M81" s="13" t="inlineStr">
        <is>
          <t>Energía eléctrica e internet</t>
        </is>
      </c>
      <c r="N81" s="14" t="n">
        <v>1</v>
      </c>
      <c r="O81" s="15" t="n">
        <v>16</v>
      </c>
      <c r="P81" s="15">
        <f>N81*O81</f>
        <v/>
      </c>
    </row>
    <row r="82">
      <c r="B82" s="16" t="n"/>
      <c r="C82" s="17" t="inlineStr">
        <is>
          <t>SUB TOTAL ACTIVIDAD</t>
        </is>
      </c>
      <c r="D82" s="18">
        <f>SUM(G81:G81)</f>
        <v/>
      </c>
      <c r="E82" s="16" t="n"/>
      <c r="F82" s="16" t="n"/>
      <c r="G82" s="16" t="n"/>
      <c r="H82" s="18">
        <f>SUM(L81:L81)</f>
        <v/>
      </c>
      <c r="I82" s="16" t="n"/>
      <c r="J82" s="16" t="n"/>
      <c r="K82" s="16" t="n"/>
      <c r="L82" s="16" t="n"/>
      <c r="M82" s="18">
        <f>SUM(P81:P81)</f>
        <v/>
      </c>
      <c r="N82" s="16" t="n"/>
      <c r="O82" s="16" t="n"/>
      <c r="P82" s="16" t="n"/>
    </row>
    <row r="83">
      <c r="B83" s="19" t="n"/>
      <c r="C83" s="20" t="inlineStr">
        <is>
          <t>TOTAL ACTIVIDAD</t>
        </is>
      </c>
      <c r="D83" s="21">
        <f>D82+H82+M82</f>
        <v/>
      </c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</row>
    <row r="84">
      <c r="B84" s="11" t="inlineStr">
        <is>
          <t>3.3.1</t>
        </is>
      </c>
      <c r="C84" s="12" t="inlineStr">
        <is>
          <t>Diseñar la base de datos relacional PostgreSQL</t>
        </is>
      </c>
      <c r="D84" s="13" t="inlineStr">
        <is>
          <t>Diego Rodríguez (Backend)</t>
        </is>
      </c>
      <c r="E84" s="14" t="n">
        <v>5</v>
      </c>
      <c r="F84" s="15" t="n">
        <v>16</v>
      </c>
      <c r="G84" s="15">
        <f>E84*F84</f>
        <v/>
      </c>
      <c r="H84" s="13" t="inlineStr">
        <is>
          <t>Alquiler Laptop desarrollo</t>
        </is>
      </c>
      <c r="I84" s="14" t="n">
        <v>1</v>
      </c>
      <c r="J84" s="15" t="n">
        <v>5</v>
      </c>
      <c r="K84" s="14" t="n">
        <v>5</v>
      </c>
      <c r="L84" s="15">
        <f>I84*J84*K84</f>
        <v/>
      </c>
      <c r="M84" s="13" t="inlineStr">
        <is>
          <t>Energía eléctrica e internet</t>
        </is>
      </c>
      <c r="N84" s="14" t="n">
        <v>1</v>
      </c>
      <c r="O84" s="15" t="n">
        <v>20</v>
      </c>
      <c r="P84" s="15">
        <f>N84*O84</f>
        <v/>
      </c>
    </row>
    <row r="85">
      <c r="B85" s="16" t="n"/>
      <c r="C85" s="17" t="inlineStr">
        <is>
          <t>SUB TOTAL ACTIVIDAD</t>
        </is>
      </c>
      <c r="D85" s="18">
        <f>SUM(G84:G84)</f>
        <v/>
      </c>
      <c r="E85" s="16" t="n"/>
      <c r="F85" s="16" t="n"/>
      <c r="G85" s="16" t="n"/>
      <c r="H85" s="18">
        <f>SUM(L84:L84)</f>
        <v/>
      </c>
      <c r="I85" s="16" t="n"/>
      <c r="J85" s="16" t="n"/>
      <c r="K85" s="16" t="n"/>
      <c r="L85" s="16" t="n"/>
      <c r="M85" s="18">
        <f>SUM(P84:P84)</f>
        <v/>
      </c>
      <c r="N85" s="16" t="n"/>
      <c r="O85" s="16" t="n"/>
      <c r="P85" s="16" t="n"/>
    </row>
    <row r="86">
      <c r="B86" s="19" t="n"/>
      <c r="C86" s="20" t="inlineStr">
        <is>
          <t>TOTAL ACTIVIDAD</t>
        </is>
      </c>
      <c r="D86" s="21">
        <f>D85+H85+M85</f>
        <v/>
      </c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>
      <c r="B87" s="11" t="inlineStr">
        <is>
          <t>3.4.1</t>
        </is>
      </c>
      <c r="C87" s="12" t="inlineStr">
        <is>
          <t>Diseñar prototipos UI en código Angular 21</t>
        </is>
      </c>
      <c r="D87" s="13" t="inlineStr">
        <is>
          <t>Estibb Anhuaman (Frontend)</t>
        </is>
      </c>
      <c r="E87" s="14" t="n">
        <v>5</v>
      </c>
      <c r="F87" s="15" t="n">
        <v>16</v>
      </c>
      <c r="G87" s="15">
        <f>E87*F87</f>
        <v/>
      </c>
      <c r="H87" s="13" t="inlineStr">
        <is>
          <t>Alquiler Laptop desarrollo</t>
        </is>
      </c>
      <c r="I87" s="14" t="n">
        <v>1</v>
      </c>
      <c r="J87" s="15" t="n">
        <v>5</v>
      </c>
      <c r="K87" s="14" t="n">
        <v>5</v>
      </c>
      <c r="L87" s="15">
        <f>I87*J87*K87</f>
        <v/>
      </c>
      <c r="M87" s="13" t="inlineStr">
        <is>
          <t>Energía eléctrica e internet</t>
        </is>
      </c>
      <c r="N87" s="14" t="n">
        <v>1</v>
      </c>
      <c r="O87" s="15" t="n">
        <v>20</v>
      </c>
      <c r="P87" s="15">
        <f>N87*O87</f>
        <v/>
      </c>
    </row>
    <row r="88">
      <c r="B88" s="16" t="n"/>
      <c r="C88" s="17" t="inlineStr">
        <is>
          <t>SUB TOTAL ACTIVIDAD</t>
        </is>
      </c>
      <c r="D88" s="18">
        <f>SUM(G87:G87)</f>
        <v/>
      </c>
      <c r="E88" s="16" t="n"/>
      <c r="F88" s="16" t="n"/>
      <c r="G88" s="16" t="n"/>
      <c r="H88" s="18">
        <f>SUM(L87:L87)</f>
        <v/>
      </c>
      <c r="I88" s="16" t="n"/>
      <c r="J88" s="16" t="n"/>
      <c r="K88" s="16" t="n"/>
      <c r="L88" s="16" t="n"/>
      <c r="M88" s="18">
        <f>SUM(P87:P87)</f>
        <v/>
      </c>
      <c r="N88" s="16" t="n"/>
      <c r="O88" s="16" t="n"/>
      <c r="P88" s="16" t="n"/>
    </row>
    <row r="89">
      <c r="B89" s="19" t="n"/>
      <c r="C89" s="20" t="inlineStr">
        <is>
          <t>TOTAL ACTIVIDAD</t>
        </is>
      </c>
      <c r="D89" s="21">
        <f>D88+H88+M88</f>
        <v/>
      </c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>
      <c r="B90" s="11" t="inlineStr">
        <is>
          <t>3.5.1</t>
        </is>
      </c>
      <c r="C90" s="12" t="inlineStr">
        <is>
          <t>Elaborar la matriz de trazabilidad</t>
        </is>
      </c>
      <c r="D90" s="13" t="inlineStr">
        <is>
          <t>Gerardo Plasencia (Líder)</t>
        </is>
      </c>
      <c r="E90" s="14" t="n">
        <v>4.5</v>
      </c>
      <c r="F90" s="15" t="n">
        <v>16</v>
      </c>
      <c r="G90" s="15">
        <f>E90*F90</f>
        <v/>
      </c>
      <c r="H90" s="13" t="inlineStr">
        <is>
          <t>Alquiler Laptop desarrollo</t>
        </is>
      </c>
      <c r="I90" s="14" t="n">
        <v>1</v>
      </c>
      <c r="J90" s="15" t="n">
        <v>5</v>
      </c>
      <c r="K90" s="14" t="n">
        <v>4</v>
      </c>
      <c r="L90" s="15">
        <f>I90*J90*K90</f>
        <v/>
      </c>
      <c r="M90" s="13" t="inlineStr">
        <is>
          <t>Energía eléctrica e internet</t>
        </is>
      </c>
      <c r="N90" s="14" t="n">
        <v>1</v>
      </c>
      <c r="O90" s="15" t="n">
        <v>18</v>
      </c>
      <c r="P90" s="15">
        <f>N90*O90</f>
        <v/>
      </c>
    </row>
    <row r="91">
      <c r="B91" s="16" t="n"/>
      <c r="C91" s="17" t="inlineStr">
        <is>
          <t>SUB TOTAL ACTIVIDAD</t>
        </is>
      </c>
      <c r="D91" s="18">
        <f>SUM(G90:G90)</f>
        <v/>
      </c>
      <c r="E91" s="16" t="n"/>
      <c r="F91" s="16" t="n"/>
      <c r="G91" s="16" t="n"/>
      <c r="H91" s="18">
        <f>SUM(L90:L90)</f>
        <v/>
      </c>
      <c r="I91" s="16" t="n"/>
      <c r="J91" s="16" t="n"/>
      <c r="K91" s="16" t="n"/>
      <c r="L91" s="16" t="n"/>
      <c r="M91" s="18">
        <f>SUM(P90:P90)</f>
        <v/>
      </c>
      <c r="N91" s="16" t="n"/>
      <c r="O91" s="16" t="n"/>
      <c r="P91" s="16" t="n"/>
    </row>
    <row r="92">
      <c r="B92" s="19" t="n"/>
      <c r="C92" s="20" t="inlineStr">
        <is>
          <t>TOTAL ACTIVIDAD</t>
        </is>
      </c>
      <c r="D92" s="21">
        <f>D91+H91+M91</f>
        <v/>
      </c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</row>
    <row r="93">
      <c r="B93" s="22" t="inlineStr">
        <is>
          <t>SUB TOTAL PAQUETE</t>
        </is>
      </c>
      <c r="C93" s="16" t="n"/>
      <c r="D93" s="23">
        <f>SUM(D79,D82,D85,D88,D91)</f>
        <v/>
      </c>
      <c r="E93" s="16" t="n"/>
      <c r="F93" s="16" t="n"/>
      <c r="G93" s="16" t="n"/>
      <c r="H93" s="23">
        <f>SUM(H79,H82,H85,H88,H91)</f>
        <v/>
      </c>
      <c r="I93" s="16" t="n"/>
      <c r="J93" s="16" t="n"/>
      <c r="K93" s="16" t="n"/>
      <c r="L93" s="16" t="n"/>
      <c r="M93" s="23">
        <f>SUM(M79,M82,M85,M88,M91)</f>
        <v/>
      </c>
      <c r="N93" s="16" t="n"/>
      <c r="O93" s="16" t="n"/>
      <c r="P93" s="16" t="n"/>
    </row>
    <row r="94">
      <c r="B94" s="24" t="inlineStr">
        <is>
          <t>TOTAL PAQUETE</t>
        </is>
      </c>
      <c r="C94" s="19" t="n"/>
      <c r="D94" s="25">
        <f>D93+H93+M93</f>
        <v/>
      </c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</row>
    <row r="96">
      <c r="B96" s="1" t="inlineStr">
        <is>
          <t>PAQUETE DE TRABAJO / ENTREGABLE</t>
        </is>
      </c>
      <c r="D96" s="2" t="inlineStr">
        <is>
          <t>EDT 4.0 — CONSTRUCCIÓN DEL PRODUCTO (CORE TRANSACCIONAL, BI E IA)</t>
        </is>
      </c>
    </row>
    <row r="97">
      <c r="B97" s="3" t="inlineStr">
        <is>
          <t>ACTIVIDAD</t>
        </is>
      </c>
      <c r="D97" s="3" t="inlineStr">
        <is>
          <t>COSTOS</t>
        </is>
      </c>
    </row>
    <row r="98">
      <c r="B98" s="4" t="inlineStr">
        <is>
          <t>CODIGO</t>
        </is>
      </c>
      <c r="C98" s="4" t="inlineStr">
        <is>
          <t>DESCRIPCION</t>
        </is>
      </c>
      <c r="D98" s="5" t="inlineStr">
        <is>
          <t>RECURSOS HUMANOS</t>
        </is>
      </c>
      <c r="E98" s="6" t="n"/>
      <c r="F98" s="6" t="n"/>
      <c r="G98" s="6" t="n"/>
      <c r="H98" s="7" t="inlineStr">
        <is>
          <t>MAQUINARIA/EQUIPOS/INFRAESTRUCTURA</t>
        </is>
      </c>
      <c r="I98" s="8" t="n"/>
      <c r="J98" s="8" t="n"/>
      <c r="K98" s="8" t="n"/>
      <c r="L98" s="8" t="n"/>
      <c r="M98" s="9" t="inlineStr">
        <is>
          <t>CONSUMIBLES/SERVICIOS</t>
        </is>
      </c>
      <c r="N98" s="10" t="n"/>
      <c r="O98" s="10" t="n"/>
      <c r="P98" s="10" t="n"/>
    </row>
    <row r="99">
      <c r="D99" s="5" t="inlineStr">
        <is>
          <t>Nombre del Recurso</t>
        </is>
      </c>
      <c r="E99" s="5" t="inlineStr">
        <is>
          <t>Numero de Horas</t>
        </is>
      </c>
      <c r="F99" s="5" t="inlineStr">
        <is>
          <t>Costo x Hora</t>
        </is>
      </c>
      <c r="G99" s="5" t="inlineStr">
        <is>
          <t>Costo Total</t>
        </is>
      </c>
      <c r="H99" s="7" t="inlineStr">
        <is>
          <t>Nombre del Recurso</t>
        </is>
      </c>
      <c r="I99" s="7" t="inlineStr">
        <is>
          <t>Cantidad</t>
        </is>
      </c>
      <c r="J99" s="7" t="inlineStr">
        <is>
          <t>Costo x día</t>
        </is>
      </c>
      <c r="K99" s="7" t="inlineStr">
        <is>
          <t>Nro. De días</t>
        </is>
      </c>
      <c r="L99" s="7" t="inlineStr">
        <is>
          <t>Total</t>
        </is>
      </c>
      <c r="M99" s="9" t="inlineStr">
        <is>
          <t>Nombre del Recurso</t>
        </is>
      </c>
      <c r="N99" s="9" t="inlineStr">
        <is>
          <t>Cantidad</t>
        </is>
      </c>
      <c r="O99" s="9" t="inlineStr">
        <is>
          <t>Costo Unitario</t>
        </is>
      </c>
      <c r="P99" s="9" t="inlineStr">
        <is>
          <t>IMPORTE</t>
        </is>
      </c>
    </row>
    <row r="100">
      <c r="B100" s="11" t="inlineStr">
        <is>
          <t>4.1.1</t>
        </is>
      </c>
      <c r="C100" s="12" t="inlineStr">
        <is>
          <t>Construir módulo transaccional base y catálogo</t>
        </is>
      </c>
      <c r="D100" s="13" t="inlineStr">
        <is>
          <t>Gerardo Plasencia (Full Stack)</t>
        </is>
      </c>
      <c r="E100" s="14" t="n">
        <v>6</v>
      </c>
      <c r="F100" s="15" t="n">
        <v>18</v>
      </c>
      <c r="G100" s="15">
        <f>E100*F100</f>
        <v/>
      </c>
      <c r="H100" s="13" t="inlineStr">
        <is>
          <t>Alquiler Laptops desarrollo</t>
        </is>
      </c>
      <c r="I100" s="14" t="n">
        <v>2</v>
      </c>
      <c r="J100" s="15" t="n">
        <v>5</v>
      </c>
      <c r="K100" s="14" t="n">
        <v>5</v>
      </c>
      <c r="L100" s="15">
        <f>I100*J100*K100</f>
        <v/>
      </c>
      <c r="M100" s="13" t="inlineStr">
        <is>
          <t>Energía eléctrica y conectividad</t>
        </is>
      </c>
      <c r="N100" s="14" t="n">
        <v>1</v>
      </c>
      <c r="O100" s="15" t="n">
        <v>28</v>
      </c>
      <c r="P100" s="15">
        <f>N100*O100</f>
        <v/>
      </c>
    </row>
    <row r="101">
      <c r="B101" s="16" t="n"/>
      <c r="C101" s="16" t="n"/>
      <c r="D101" s="13" t="inlineStr">
        <is>
          <t>Estibb Anhuaman (Frontend)</t>
        </is>
      </c>
      <c r="E101" s="14" t="n">
        <v>4</v>
      </c>
      <c r="F101" s="15" t="n">
        <v>16</v>
      </c>
      <c r="G101" s="15">
        <f>E101*F101</f>
        <v/>
      </c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</row>
    <row r="102">
      <c r="B102" s="16" t="n"/>
      <c r="C102" s="17" t="inlineStr">
        <is>
          <t>SUB TOTAL ACTIVIDAD</t>
        </is>
      </c>
      <c r="D102" s="18">
        <f>SUM(G100:G101)</f>
        <v/>
      </c>
      <c r="E102" s="16" t="n"/>
      <c r="F102" s="16" t="n"/>
      <c r="G102" s="16" t="n"/>
      <c r="H102" s="18">
        <f>SUM(L100:L101)</f>
        <v/>
      </c>
      <c r="I102" s="16" t="n"/>
      <c r="J102" s="16" t="n"/>
      <c r="K102" s="16" t="n"/>
      <c r="L102" s="16" t="n"/>
      <c r="M102" s="18">
        <f>SUM(P100:P101)</f>
        <v/>
      </c>
      <c r="N102" s="16" t="n"/>
      <c r="O102" s="16" t="n"/>
      <c r="P102" s="16" t="n"/>
    </row>
    <row r="103">
      <c r="B103" s="19" t="n"/>
      <c r="C103" s="20" t="inlineStr">
        <is>
          <t>TOTAL ACTIVIDAD</t>
        </is>
      </c>
      <c r="D103" s="21">
        <f>D102+H102+M102</f>
        <v/>
      </c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</row>
    <row r="104">
      <c r="B104" s="11" t="inlineStr">
        <is>
          <t>4.1.2</t>
        </is>
      </c>
      <c r="C104" s="12" t="inlineStr">
        <is>
          <t>Priorizar el Product Backlog</t>
        </is>
      </c>
      <c r="D104" s="13" t="inlineStr">
        <is>
          <t>Gerardo Plasencia (Líder)</t>
        </is>
      </c>
      <c r="E104" s="14" t="n">
        <v>2.5</v>
      </c>
      <c r="F104" s="15" t="n">
        <v>16</v>
      </c>
      <c r="G104" s="15">
        <f>E104*F104</f>
        <v/>
      </c>
      <c r="H104" s="13" t="inlineStr">
        <is>
          <t>Alquiler Laptop desarrollo</t>
        </is>
      </c>
      <c r="I104" s="14" t="n">
        <v>1</v>
      </c>
      <c r="J104" s="15" t="n">
        <v>5</v>
      </c>
      <c r="K104" s="14" t="n">
        <v>2</v>
      </c>
      <c r="L104" s="15">
        <f>I104*J104*K104</f>
        <v/>
      </c>
      <c r="M104" s="13" t="inlineStr">
        <is>
          <t>Energía eléctrica e internet</t>
        </is>
      </c>
      <c r="N104" s="14" t="n">
        <v>1</v>
      </c>
      <c r="O104" s="15" t="n">
        <v>10</v>
      </c>
      <c r="P104" s="15">
        <f>N104*O104</f>
        <v/>
      </c>
    </row>
    <row r="105">
      <c r="B105" s="16" t="n"/>
      <c r="C105" s="17" t="inlineStr">
        <is>
          <t>SUB TOTAL ACTIVIDAD</t>
        </is>
      </c>
      <c r="D105" s="18">
        <f>SUM(G104:G104)</f>
        <v/>
      </c>
      <c r="E105" s="16" t="n"/>
      <c r="F105" s="16" t="n"/>
      <c r="G105" s="16" t="n"/>
      <c r="H105" s="18">
        <f>SUM(L104:L104)</f>
        <v/>
      </c>
      <c r="I105" s="16" t="n"/>
      <c r="J105" s="16" t="n"/>
      <c r="K105" s="16" t="n"/>
      <c r="L105" s="16" t="n"/>
      <c r="M105" s="18">
        <f>SUM(P104:P104)</f>
        <v/>
      </c>
      <c r="N105" s="16" t="n"/>
      <c r="O105" s="16" t="n"/>
      <c r="P105" s="16" t="n"/>
    </row>
    <row r="106">
      <c r="B106" s="19" t="n"/>
      <c r="C106" s="20" t="inlineStr">
        <is>
          <t>TOTAL ACTIVIDAD</t>
        </is>
      </c>
      <c r="D106" s="21">
        <f>D105+H105+M105</f>
        <v/>
      </c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>
      <c r="B107" s="11" t="inlineStr">
        <is>
          <t>4.1.3</t>
        </is>
      </c>
      <c r="C107" s="12" t="inlineStr">
        <is>
          <t>Definir el Definition of Done (DoD)</t>
        </is>
      </c>
      <c r="D107" s="13" t="inlineStr">
        <is>
          <t>Diego Rodríguez (Backend)</t>
        </is>
      </c>
      <c r="E107" s="14" t="n">
        <v>2</v>
      </c>
      <c r="F107" s="15" t="n">
        <v>16</v>
      </c>
      <c r="G107" s="15">
        <f>E107*F107</f>
        <v/>
      </c>
      <c r="H107" s="13" t="inlineStr">
        <is>
          <t>Alquiler Laptop desarrollo</t>
        </is>
      </c>
      <c r="I107" s="14" t="n">
        <v>1</v>
      </c>
      <c r="J107" s="15" t="n">
        <v>5</v>
      </c>
      <c r="K107" s="14" t="n">
        <v>2</v>
      </c>
      <c r="L107" s="15">
        <f>I107*J107*K107</f>
        <v/>
      </c>
      <c r="M107" s="13" t="inlineStr">
        <is>
          <t>Energía eléctrica e internet</t>
        </is>
      </c>
      <c r="N107" s="14" t="n">
        <v>1</v>
      </c>
      <c r="O107" s="15" t="n">
        <v>8</v>
      </c>
      <c r="P107" s="15">
        <f>N107*O107</f>
        <v/>
      </c>
    </row>
    <row r="108">
      <c r="B108" s="16" t="n"/>
      <c r="C108" s="17" t="inlineStr">
        <is>
          <t>SUB TOTAL ACTIVIDAD</t>
        </is>
      </c>
      <c r="D108" s="18">
        <f>SUM(G107:G107)</f>
        <v/>
      </c>
      <c r="E108" s="16" t="n"/>
      <c r="F108" s="16" t="n"/>
      <c r="G108" s="16" t="n"/>
      <c r="H108" s="18">
        <f>SUM(L107:L107)</f>
        <v/>
      </c>
      <c r="I108" s="16" t="n"/>
      <c r="J108" s="16" t="n"/>
      <c r="K108" s="16" t="n"/>
      <c r="L108" s="16" t="n"/>
      <c r="M108" s="18">
        <f>SUM(P107:P107)</f>
        <v/>
      </c>
      <c r="N108" s="16" t="n"/>
      <c r="O108" s="16" t="n"/>
      <c r="P108" s="16" t="n"/>
    </row>
    <row r="109">
      <c r="B109" s="19" t="n"/>
      <c r="C109" s="20" t="inlineStr">
        <is>
          <t>TOTAL ACTIVIDAD</t>
        </is>
      </c>
      <c r="D109" s="21">
        <f>D108+H108+M108</f>
        <v/>
      </c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>
      <c r="B110" s="11" t="inlineStr">
        <is>
          <t>4.2.1</t>
        </is>
      </c>
      <c r="C110" s="12" t="inlineStr">
        <is>
          <t>Construir módulo de cobros, caja y BI</t>
        </is>
      </c>
      <c r="D110" s="13" t="inlineStr">
        <is>
          <t>Gerardo Plasencia (Full Stack)</t>
        </is>
      </c>
      <c r="E110" s="14" t="n">
        <v>8</v>
      </c>
      <c r="F110" s="15" t="n">
        <v>18</v>
      </c>
      <c r="G110" s="15">
        <f>E110*F110</f>
        <v/>
      </c>
      <c r="H110" s="13" t="inlineStr">
        <is>
          <t>Alquiler Laptops desarrollo</t>
        </is>
      </c>
      <c r="I110" s="14" t="n">
        <v>2</v>
      </c>
      <c r="J110" s="15" t="n">
        <v>5</v>
      </c>
      <c r="K110" s="14" t="n">
        <v>6</v>
      </c>
      <c r="L110" s="15">
        <f>I110*J110*K110</f>
        <v/>
      </c>
      <c r="M110" s="13" t="inlineStr">
        <is>
          <t>Energía eléctrica y conectividad</t>
        </is>
      </c>
      <c r="N110" s="14" t="n">
        <v>1</v>
      </c>
      <c r="O110" s="15" t="n">
        <v>32</v>
      </c>
      <c r="P110" s="15">
        <f>N110*O110</f>
        <v/>
      </c>
    </row>
    <row r="111">
      <c r="B111" s="16" t="n"/>
      <c r="C111" s="16" t="n"/>
      <c r="D111" s="13" t="inlineStr">
        <is>
          <t>Diego Rodríguez (Backend)</t>
        </is>
      </c>
      <c r="E111" s="14" t="n">
        <v>4</v>
      </c>
      <c r="F111" s="15" t="n">
        <v>16</v>
      </c>
      <c r="G111" s="15">
        <f>E111*F111</f>
        <v/>
      </c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</row>
    <row r="112">
      <c r="B112" s="16" t="n"/>
      <c r="C112" s="17" t="inlineStr">
        <is>
          <t>SUB TOTAL ACTIVIDAD</t>
        </is>
      </c>
      <c r="D112" s="18">
        <f>SUM(G110:G111)</f>
        <v/>
      </c>
      <c r="E112" s="16" t="n"/>
      <c r="F112" s="16" t="n"/>
      <c r="G112" s="16" t="n"/>
      <c r="H112" s="18">
        <f>SUM(L110:L111)</f>
        <v/>
      </c>
      <c r="I112" s="16" t="n"/>
      <c r="J112" s="16" t="n"/>
      <c r="K112" s="16" t="n"/>
      <c r="L112" s="16" t="n"/>
      <c r="M112" s="18">
        <f>SUM(P110:P111)</f>
        <v/>
      </c>
      <c r="N112" s="16" t="n"/>
      <c r="O112" s="16" t="n"/>
      <c r="P112" s="16" t="n"/>
    </row>
    <row r="113">
      <c r="B113" s="19" t="n"/>
      <c r="C113" s="20" t="inlineStr">
        <is>
          <t>TOTAL ACTIVIDAD</t>
        </is>
      </c>
      <c r="D113" s="21">
        <f>D112+H112+M112</f>
        <v/>
      </c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</row>
    <row r="114">
      <c r="B114" s="11" t="inlineStr">
        <is>
          <t>4.2.2</t>
        </is>
      </c>
      <c r="C114" s="12" t="inlineStr">
        <is>
          <t>Registrar los cambios y refinamientos</t>
        </is>
      </c>
      <c r="D114" s="13" t="inlineStr">
        <is>
          <t>Gerardo Plasencia (Líder)</t>
        </is>
      </c>
      <c r="E114" s="14" t="n">
        <v>1.5</v>
      </c>
      <c r="F114" s="15" t="n">
        <v>16</v>
      </c>
      <c r="G114" s="15">
        <f>E114*F114</f>
        <v/>
      </c>
      <c r="H114" s="13" t="inlineStr">
        <is>
          <t>Alquiler Laptop desarrollo</t>
        </is>
      </c>
      <c r="I114" s="14" t="n">
        <v>1</v>
      </c>
      <c r="J114" s="15" t="n">
        <v>5</v>
      </c>
      <c r="K114" s="14" t="n">
        <v>2</v>
      </c>
      <c r="L114" s="15">
        <f>I114*J114*K114</f>
        <v/>
      </c>
      <c r="M114" s="13" t="inlineStr">
        <is>
          <t>Energía eléctrica e internet</t>
        </is>
      </c>
      <c r="N114" s="14" t="n">
        <v>1</v>
      </c>
      <c r="O114" s="15" t="n">
        <v>6</v>
      </c>
      <c r="P114" s="15">
        <f>N114*O114</f>
        <v/>
      </c>
    </row>
    <row r="115">
      <c r="B115" s="16" t="n"/>
      <c r="C115" s="17" t="inlineStr">
        <is>
          <t>SUB TOTAL ACTIVIDAD</t>
        </is>
      </c>
      <c r="D115" s="18">
        <f>SUM(G114:G114)</f>
        <v/>
      </c>
      <c r="E115" s="16" t="n"/>
      <c r="F115" s="16" t="n"/>
      <c r="G115" s="16" t="n"/>
      <c r="H115" s="18">
        <f>SUM(L114:L114)</f>
        <v/>
      </c>
      <c r="I115" s="16" t="n"/>
      <c r="J115" s="16" t="n"/>
      <c r="K115" s="16" t="n"/>
      <c r="L115" s="16" t="n"/>
      <c r="M115" s="18">
        <f>SUM(P114:P114)</f>
        <v/>
      </c>
      <c r="N115" s="16" t="n"/>
      <c r="O115" s="16" t="n"/>
      <c r="P115" s="16" t="n"/>
    </row>
    <row r="116">
      <c r="B116" s="19" t="n"/>
      <c r="C116" s="20" t="inlineStr">
        <is>
          <t>TOTAL ACTIVIDAD</t>
        </is>
      </c>
      <c r="D116" s="21">
        <f>D115+H115+M115</f>
        <v/>
      </c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</row>
    <row r="117">
      <c r="B117" s="11" t="inlineStr">
        <is>
          <t>4.2.3</t>
        </is>
      </c>
      <c r="C117" s="12" t="inlineStr">
        <is>
          <t>Registrar los incidentes técnicos</t>
        </is>
      </c>
      <c r="D117" s="13" t="inlineStr">
        <is>
          <t>Diego Rodríguez (Backend)</t>
        </is>
      </c>
      <c r="E117" s="14" t="n">
        <v>1.5</v>
      </c>
      <c r="F117" s="15" t="n">
        <v>16</v>
      </c>
      <c r="G117" s="15">
        <f>E117*F117</f>
        <v/>
      </c>
      <c r="H117" s="13" t="inlineStr">
        <is>
          <t>Alquiler Laptop desarrollo</t>
        </is>
      </c>
      <c r="I117" s="14" t="n">
        <v>1</v>
      </c>
      <c r="J117" s="15" t="n">
        <v>5</v>
      </c>
      <c r="K117" s="14" t="n">
        <v>2</v>
      </c>
      <c r="L117" s="15">
        <f>I117*J117*K117</f>
        <v/>
      </c>
      <c r="M117" s="13" t="inlineStr">
        <is>
          <t>Energía eléctrica e internet</t>
        </is>
      </c>
      <c r="N117" s="14" t="n">
        <v>1</v>
      </c>
      <c r="O117" s="15" t="n">
        <v>6</v>
      </c>
      <c r="P117" s="15">
        <f>N117*O117</f>
        <v/>
      </c>
    </row>
    <row r="118">
      <c r="B118" s="16" t="n"/>
      <c r="C118" s="17" t="inlineStr">
        <is>
          <t>SUB TOTAL ACTIVIDAD</t>
        </is>
      </c>
      <c r="D118" s="18">
        <f>SUM(G117:G117)</f>
        <v/>
      </c>
      <c r="E118" s="16" t="n"/>
      <c r="F118" s="16" t="n"/>
      <c r="G118" s="16" t="n"/>
      <c r="H118" s="18">
        <f>SUM(L117:L117)</f>
        <v/>
      </c>
      <c r="I118" s="16" t="n"/>
      <c r="J118" s="16" t="n"/>
      <c r="K118" s="16" t="n"/>
      <c r="L118" s="16" t="n"/>
      <c r="M118" s="18">
        <f>SUM(P117:P117)</f>
        <v/>
      </c>
      <c r="N118" s="16" t="n"/>
      <c r="O118" s="16" t="n"/>
      <c r="P118" s="16" t="n"/>
    </row>
    <row r="119">
      <c r="B119" s="19" t="n"/>
      <c r="C119" s="20" t="inlineStr">
        <is>
          <t>TOTAL ACTIVIDAD</t>
        </is>
      </c>
      <c r="D119" s="21">
        <f>D118+H118+M118</f>
        <v/>
      </c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>
      <c r="B120" s="11" t="inlineStr">
        <is>
          <t>4.3.1</t>
        </is>
      </c>
      <c r="C120" s="12" t="inlineStr">
        <is>
          <t>Validar módulo predictivo de demanda (IA)</t>
        </is>
      </c>
      <c r="D120" s="13" t="inlineStr">
        <is>
          <t>Diego Rodríguez (IA)</t>
        </is>
      </c>
      <c r="E120" s="14" t="n">
        <v>2.5</v>
      </c>
      <c r="F120" s="15" t="n">
        <v>16</v>
      </c>
      <c r="G120" s="15">
        <f>E120*F120</f>
        <v/>
      </c>
      <c r="H120" s="13" t="inlineStr">
        <is>
          <t>Alquiler Laptop desarrollo</t>
        </is>
      </c>
      <c r="I120" s="14" t="n">
        <v>1</v>
      </c>
      <c r="J120" s="15" t="n">
        <v>5</v>
      </c>
      <c r="K120" s="14" t="n">
        <v>2</v>
      </c>
      <c r="L120" s="15">
        <f>I120*J120*K120</f>
        <v/>
      </c>
      <c r="M120" s="13" t="inlineStr">
        <is>
          <t>Energía eléctrica e internet</t>
        </is>
      </c>
      <c r="N120" s="14" t="n">
        <v>1</v>
      </c>
      <c r="O120" s="15" t="n">
        <v>10</v>
      </c>
      <c r="P120" s="15">
        <f>N120*O120</f>
        <v/>
      </c>
    </row>
    <row r="121">
      <c r="B121" s="16" t="n"/>
      <c r="C121" s="17" t="inlineStr">
        <is>
          <t>SUB TOTAL ACTIVIDAD</t>
        </is>
      </c>
      <c r="D121" s="18">
        <f>SUM(G120:G120)</f>
        <v/>
      </c>
      <c r="E121" s="16" t="n"/>
      <c r="F121" s="16" t="n"/>
      <c r="G121" s="16" t="n"/>
      <c r="H121" s="18">
        <f>SUM(L120:L120)</f>
        <v/>
      </c>
      <c r="I121" s="16" t="n"/>
      <c r="J121" s="16" t="n"/>
      <c r="K121" s="16" t="n"/>
      <c r="L121" s="16" t="n"/>
      <c r="M121" s="18">
        <f>SUM(P120:P120)</f>
        <v/>
      </c>
      <c r="N121" s="16" t="n"/>
      <c r="O121" s="16" t="n"/>
      <c r="P121" s="16" t="n"/>
    </row>
    <row r="122">
      <c r="B122" s="19" t="n"/>
      <c r="C122" s="20" t="inlineStr">
        <is>
          <t>TOTAL ACTIVIDAD</t>
        </is>
      </c>
      <c r="D122" s="21">
        <f>D121+H121+M121</f>
        <v/>
      </c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>
      <c r="B123" s="11" t="inlineStr">
        <is>
          <t>4.3.2</t>
        </is>
      </c>
      <c r="C123" s="12" t="inlineStr">
        <is>
          <t>Consolidar el sistema web integral</t>
        </is>
      </c>
      <c r="D123" s="13" t="inlineStr">
        <is>
          <t>Estibb Anhuaman (Frontend)</t>
        </is>
      </c>
      <c r="E123" s="14" t="n">
        <v>2.5</v>
      </c>
      <c r="F123" s="15" t="n">
        <v>16</v>
      </c>
      <c r="G123" s="15">
        <f>E123*F123</f>
        <v/>
      </c>
      <c r="H123" s="13" t="inlineStr">
        <is>
          <t>Alquiler Laptop desarrollo</t>
        </is>
      </c>
      <c r="I123" s="14" t="n">
        <v>1</v>
      </c>
      <c r="J123" s="15" t="n">
        <v>5</v>
      </c>
      <c r="K123" s="14" t="n">
        <v>2</v>
      </c>
      <c r="L123" s="15">
        <f>I123*J123*K123</f>
        <v/>
      </c>
      <c r="M123" s="13" t="inlineStr">
        <is>
          <t>Energía eléctrica e internet</t>
        </is>
      </c>
      <c r="N123" s="14" t="n">
        <v>1</v>
      </c>
      <c r="O123" s="15" t="n">
        <v>10</v>
      </c>
      <c r="P123" s="15">
        <f>N123*O123</f>
        <v/>
      </c>
    </row>
    <row r="124">
      <c r="B124" s="16" t="n"/>
      <c r="C124" s="17" t="inlineStr">
        <is>
          <t>SUB TOTAL ACTIVIDAD</t>
        </is>
      </c>
      <c r="D124" s="18">
        <f>SUM(G123:G123)</f>
        <v/>
      </c>
      <c r="E124" s="16" t="n"/>
      <c r="F124" s="16" t="n"/>
      <c r="G124" s="16" t="n"/>
      <c r="H124" s="18">
        <f>SUM(L123:L123)</f>
        <v/>
      </c>
      <c r="I124" s="16" t="n"/>
      <c r="J124" s="16" t="n"/>
      <c r="K124" s="16" t="n"/>
      <c r="L124" s="16" t="n"/>
      <c r="M124" s="18">
        <f>SUM(P123:P123)</f>
        <v/>
      </c>
      <c r="N124" s="16" t="n"/>
      <c r="O124" s="16" t="n"/>
      <c r="P124" s="16" t="n"/>
    </row>
    <row r="125">
      <c r="B125" s="19" t="n"/>
      <c r="C125" s="20" t="inlineStr">
        <is>
          <t>TOTAL ACTIVIDAD</t>
        </is>
      </c>
      <c r="D125" s="21">
        <f>D124+H124+M124</f>
        <v/>
      </c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</row>
    <row r="126">
      <c r="B126" s="22" t="inlineStr">
        <is>
          <t>SUB TOTAL PAQUETE</t>
        </is>
      </c>
      <c r="C126" s="16" t="n"/>
      <c r="D126" s="23">
        <f>SUM(D102,D105,D108,D112,D115,D118,D121,D124)</f>
        <v/>
      </c>
      <c r="E126" s="16" t="n"/>
      <c r="F126" s="16" t="n"/>
      <c r="G126" s="16" t="n"/>
      <c r="H126" s="23">
        <f>SUM(H102,H105,H108,H112,H115,H118,H121,H124)</f>
        <v/>
      </c>
      <c r="I126" s="16" t="n"/>
      <c r="J126" s="16" t="n"/>
      <c r="K126" s="16" t="n"/>
      <c r="L126" s="16" t="n"/>
      <c r="M126" s="23">
        <f>SUM(M102,M105,M108,M112,M115,M118,M121,M124)</f>
        <v/>
      </c>
      <c r="N126" s="16" t="n"/>
      <c r="O126" s="16" t="n"/>
      <c r="P126" s="16" t="n"/>
    </row>
    <row r="127">
      <c r="B127" s="24" t="inlineStr">
        <is>
          <t>TOTAL PAQUETE</t>
        </is>
      </c>
      <c r="C127" s="19" t="n"/>
      <c r="D127" s="25">
        <f>D126+H126+M126</f>
        <v/>
      </c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</row>
    <row r="129">
      <c r="B129" s="1" t="inlineStr">
        <is>
          <t>PAQUETE DE TRABAJO / ENTREGABLE</t>
        </is>
      </c>
      <c r="D129" s="2" t="inlineStr">
        <is>
          <t>EDT 5.0 — ASEGURAMIENTO DE CALIDAD (QA, PRUEBAS Y SQA)</t>
        </is>
      </c>
    </row>
    <row r="130">
      <c r="B130" s="3" t="inlineStr">
        <is>
          <t>ACTIVIDAD</t>
        </is>
      </c>
      <c r="D130" s="3" t="inlineStr">
        <is>
          <t>COSTOS</t>
        </is>
      </c>
    </row>
    <row r="131">
      <c r="B131" s="4" t="inlineStr">
        <is>
          <t>CODIGO</t>
        </is>
      </c>
      <c r="C131" s="4" t="inlineStr">
        <is>
          <t>DESCRIPCION</t>
        </is>
      </c>
      <c r="D131" s="5" t="inlineStr">
        <is>
          <t>RECURSOS HUMANOS</t>
        </is>
      </c>
      <c r="E131" s="6" t="n"/>
      <c r="F131" s="6" t="n"/>
      <c r="G131" s="6" t="n"/>
      <c r="H131" s="7" t="inlineStr">
        <is>
          <t>MAQUINARIA/EQUIPOS/INFRAESTRUCTURA</t>
        </is>
      </c>
      <c r="I131" s="8" t="n"/>
      <c r="J131" s="8" t="n"/>
      <c r="K131" s="8" t="n"/>
      <c r="L131" s="8" t="n"/>
      <c r="M131" s="9" t="inlineStr">
        <is>
          <t>CONSUMIBLES/SERVICIOS</t>
        </is>
      </c>
      <c r="N131" s="10" t="n"/>
      <c r="O131" s="10" t="n"/>
      <c r="P131" s="10" t="n"/>
    </row>
    <row r="132">
      <c r="D132" s="5" t="inlineStr">
        <is>
          <t>Nombre del Recurso</t>
        </is>
      </c>
      <c r="E132" s="5" t="inlineStr">
        <is>
          <t>Numero de Horas</t>
        </is>
      </c>
      <c r="F132" s="5" t="inlineStr">
        <is>
          <t>Costo x Hora</t>
        </is>
      </c>
      <c r="G132" s="5" t="inlineStr">
        <is>
          <t>Costo Total</t>
        </is>
      </c>
      <c r="H132" s="7" t="inlineStr">
        <is>
          <t>Nombre del Recurso</t>
        </is>
      </c>
      <c r="I132" s="7" t="inlineStr">
        <is>
          <t>Cantidad</t>
        </is>
      </c>
      <c r="J132" s="7" t="inlineStr">
        <is>
          <t>Costo x día</t>
        </is>
      </c>
      <c r="K132" s="7" t="inlineStr">
        <is>
          <t>Nro. De días</t>
        </is>
      </c>
      <c r="L132" s="7" t="inlineStr">
        <is>
          <t>Total</t>
        </is>
      </c>
      <c r="M132" s="9" t="inlineStr">
        <is>
          <t>Nombre del Recurso</t>
        </is>
      </c>
      <c r="N132" s="9" t="inlineStr">
        <is>
          <t>Cantidad</t>
        </is>
      </c>
      <c r="O132" s="9" t="inlineStr">
        <is>
          <t>Costo Unitario</t>
        </is>
      </c>
      <c r="P132" s="9" t="inlineStr">
        <is>
          <t>IMPORTE</t>
        </is>
      </c>
    </row>
    <row r="133">
      <c r="B133" s="11" t="inlineStr">
        <is>
          <t>5.1.1</t>
        </is>
      </c>
      <c r="C133" s="12" t="inlineStr">
        <is>
          <t>Ejecutar pruebas unitarias automatizadas</t>
        </is>
      </c>
      <c r="D133" s="13" t="inlineStr">
        <is>
          <t>Diego Rodríguez (Backend)</t>
        </is>
      </c>
      <c r="E133" s="14" t="n">
        <v>4</v>
      </c>
      <c r="F133" s="15" t="n">
        <v>15</v>
      </c>
      <c r="G133" s="15">
        <f>E133*F133</f>
        <v/>
      </c>
      <c r="H133" s="13" t="inlineStr">
        <is>
          <t>Alquiler Laptop desarrollo</t>
        </is>
      </c>
      <c r="I133" s="14" t="n">
        <v>1</v>
      </c>
      <c r="J133" s="15" t="n">
        <v>5</v>
      </c>
      <c r="K133" s="14" t="n">
        <v>3</v>
      </c>
      <c r="L133" s="15">
        <f>I133*J133*K133</f>
        <v/>
      </c>
      <c r="M133" s="13" t="inlineStr">
        <is>
          <t>Energía eléctrica e internet</t>
        </is>
      </c>
      <c r="N133" s="14" t="n">
        <v>1</v>
      </c>
      <c r="O133" s="15" t="n">
        <v>15</v>
      </c>
      <c r="P133" s="15">
        <f>N133*O133</f>
        <v/>
      </c>
    </row>
    <row r="134">
      <c r="B134" s="16" t="n"/>
      <c r="C134" s="17" t="inlineStr">
        <is>
          <t>SUB TOTAL ACTIVIDAD</t>
        </is>
      </c>
      <c r="D134" s="18">
        <f>SUM(G133:G133)</f>
        <v/>
      </c>
      <c r="E134" s="16" t="n"/>
      <c r="F134" s="16" t="n"/>
      <c r="G134" s="16" t="n"/>
      <c r="H134" s="18">
        <f>SUM(L133:L133)</f>
        <v/>
      </c>
      <c r="I134" s="16" t="n"/>
      <c r="J134" s="16" t="n"/>
      <c r="K134" s="16" t="n"/>
      <c r="L134" s="16" t="n"/>
      <c r="M134" s="18">
        <f>SUM(P133:P133)</f>
        <v/>
      </c>
      <c r="N134" s="16" t="n"/>
      <c r="O134" s="16" t="n"/>
      <c r="P134" s="16" t="n"/>
    </row>
    <row r="135">
      <c r="B135" s="19" t="n"/>
      <c r="C135" s="20" t="inlineStr">
        <is>
          <t>TOTAL ACTIVIDAD</t>
        </is>
      </c>
      <c r="D135" s="21">
        <f>D134+H134+M134</f>
        <v/>
      </c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</row>
    <row r="136">
      <c r="B136" s="11" t="inlineStr">
        <is>
          <t>5.1.2</t>
        </is>
      </c>
      <c r="C136" s="12" t="inlineStr">
        <is>
          <t>Ejecutar pruebas de integración API</t>
        </is>
      </c>
      <c r="D136" s="13" t="inlineStr">
        <is>
          <t>Gerardo Plasencia (Full Stack)</t>
        </is>
      </c>
      <c r="E136" s="14" t="n">
        <v>4</v>
      </c>
      <c r="F136" s="15" t="n">
        <v>15</v>
      </c>
      <c r="G136" s="15">
        <f>E136*F136</f>
        <v/>
      </c>
      <c r="H136" s="13" t="inlineStr">
        <is>
          <t>Alquiler Laptop desarrollo</t>
        </is>
      </c>
      <c r="I136" s="14" t="n">
        <v>1</v>
      </c>
      <c r="J136" s="15" t="n">
        <v>5</v>
      </c>
      <c r="K136" s="14" t="n">
        <v>3</v>
      </c>
      <c r="L136" s="15">
        <f>I136*J136*K136</f>
        <v/>
      </c>
      <c r="M136" s="13" t="inlineStr">
        <is>
          <t>Energía eléctrica e internet</t>
        </is>
      </c>
      <c r="N136" s="14" t="n">
        <v>1</v>
      </c>
      <c r="O136" s="15" t="n">
        <v>15</v>
      </c>
      <c r="P136" s="15">
        <f>N136*O136</f>
        <v/>
      </c>
    </row>
    <row r="137">
      <c r="B137" s="16" t="n"/>
      <c r="C137" s="17" t="inlineStr">
        <is>
          <t>SUB TOTAL ACTIVIDAD</t>
        </is>
      </c>
      <c r="D137" s="18">
        <f>SUM(G136:G136)</f>
        <v/>
      </c>
      <c r="E137" s="16" t="n"/>
      <c r="F137" s="16" t="n"/>
      <c r="G137" s="16" t="n"/>
      <c r="H137" s="18">
        <f>SUM(L136:L136)</f>
        <v/>
      </c>
      <c r="I137" s="16" t="n"/>
      <c r="J137" s="16" t="n"/>
      <c r="K137" s="16" t="n"/>
      <c r="L137" s="16" t="n"/>
      <c r="M137" s="18">
        <f>SUM(P136:P136)</f>
        <v/>
      </c>
      <c r="N137" s="16" t="n"/>
      <c r="O137" s="16" t="n"/>
      <c r="P137" s="16" t="n"/>
    </row>
    <row r="138">
      <c r="B138" s="19" t="n"/>
      <c r="C138" s="20" t="inlineStr">
        <is>
          <t>TOTAL ACTIVIDAD</t>
        </is>
      </c>
      <c r="D138" s="21">
        <f>D137+H137+M137</f>
        <v/>
      </c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</row>
    <row r="139">
      <c r="B139" s="11" t="inlineStr">
        <is>
          <t>5.1.3</t>
        </is>
      </c>
      <c r="C139" s="12" t="inlineStr">
        <is>
          <t>Ejecutar pruebas de sistema y flujo E2E</t>
        </is>
      </c>
      <c r="D139" s="13" t="inlineStr">
        <is>
          <t>Estibb Anhuaman (Frontend)</t>
        </is>
      </c>
      <c r="E139" s="14" t="n">
        <v>2.5</v>
      </c>
      <c r="F139" s="15" t="n">
        <v>16</v>
      </c>
      <c r="G139" s="15">
        <f>E139*F139</f>
        <v/>
      </c>
      <c r="H139" s="13" t="inlineStr">
        <is>
          <t>Alquiler Laptop desarrollo</t>
        </is>
      </c>
      <c r="I139" s="14" t="n">
        <v>1</v>
      </c>
      <c r="J139" s="15" t="n">
        <v>5</v>
      </c>
      <c r="K139" s="14" t="n">
        <v>2</v>
      </c>
      <c r="L139" s="15">
        <f>I139*J139*K139</f>
        <v/>
      </c>
      <c r="M139" s="13" t="inlineStr">
        <is>
          <t>Energía eléctrica e internet</t>
        </is>
      </c>
      <c r="N139" s="14" t="n">
        <v>1</v>
      </c>
      <c r="O139" s="15" t="n">
        <v>10</v>
      </c>
      <c r="P139" s="15">
        <f>N139*O139</f>
        <v/>
      </c>
    </row>
    <row r="140">
      <c r="B140" s="16" t="n"/>
      <c r="C140" s="17" t="inlineStr">
        <is>
          <t>SUB TOTAL ACTIVIDAD</t>
        </is>
      </c>
      <c r="D140" s="18">
        <f>SUM(G139:G139)</f>
        <v/>
      </c>
      <c r="E140" s="16" t="n"/>
      <c r="F140" s="16" t="n"/>
      <c r="G140" s="16" t="n"/>
      <c r="H140" s="18">
        <f>SUM(L139:L139)</f>
        <v/>
      </c>
      <c r="I140" s="16" t="n"/>
      <c r="J140" s="16" t="n"/>
      <c r="K140" s="16" t="n"/>
      <c r="L140" s="16" t="n"/>
      <c r="M140" s="18">
        <f>SUM(P139:P139)</f>
        <v/>
      </c>
      <c r="N140" s="16" t="n"/>
      <c r="O140" s="16" t="n"/>
      <c r="P140" s="16" t="n"/>
    </row>
    <row r="141">
      <c r="B141" s="19" t="n"/>
      <c r="C141" s="20" t="inlineStr">
        <is>
          <t>TOTAL ACTIVIDAD</t>
        </is>
      </c>
      <c r="D141" s="21">
        <f>D140+H140+M140</f>
        <v/>
      </c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>
      <c r="B142" s="11" t="inlineStr">
        <is>
          <t>5.1.4</t>
        </is>
      </c>
      <c r="C142" s="12" t="inlineStr">
        <is>
          <t>Ejecutar pruebas de aceptación con usuario</t>
        </is>
      </c>
      <c r="D142" s="13" t="inlineStr">
        <is>
          <t>Gerardo Plasencia (Líder)</t>
        </is>
      </c>
      <c r="E142" s="14" t="n">
        <v>2</v>
      </c>
      <c r="F142" s="15" t="n">
        <v>16</v>
      </c>
      <c r="G142" s="15">
        <f>E142*F142</f>
        <v/>
      </c>
      <c r="H142" s="13" t="inlineStr">
        <is>
          <t>Alquiler Laptop desarrollo</t>
        </is>
      </c>
      <c r="I142" s="14" t="n">
        <v>1</v>
      </c>
      <c r="J142" s="15" t="n">
        <v>5</v>
      </c>
      <c r="K142" s="14" t="n">
        <v>2</v>
      </c>
      <c r="L142" s="15">
        <f>I142*J142*K142</f>
        <v/>
      </c>
      <c r="M142" s="13" t="inlineStr">
        <is>
          <t>Energía eléctrica e impresiones</t>
        </is>
      </c>
      <c r="N142" s="14" t="n">
        <v>1</v>
      </c>
      <c r="O142" s="15" t="n">
        <v>8</v>
      </c>
      <c r="P142" s="15">
        <f>N142*O142</f>
        <v/>
      </c>
    </row>
    <row r="143">
      <c r="B143" s="16" t="n"/>
      <c r="C143" s="17" t="inlineStr">
        <is>
          <t>SUB TOTAL ACTIVIDAD</t>
        </is>
      </c>
      <c r="D143" s="18">
        <f>SUM(G142:G142)</f>
        <v/>
      </c>
      <c r="E143" s="16" t="n"/>
      <c r="F143" s="16" t="n"/>
      <c r="G143" s="16" t="n"/>
      <c r="H143" s="18">
        <f>SUM(L142:L142)</f>
        <v/>
      </c>
      <c r="I143" s="16" t="n"/>
      <c r="J143" s="16" t="n"/>
      <c r="K143" s="16" t="n"/>
      <c r="L143" s="16" t="n"/>
      <c r="M143" s="18">
        <f>SUM(P142:P142)</f>
        <v/>
      </c>
      <c r="N143" s="16" t="n"/>
      <c r="O143" s="16" t="n"/>
      <c r="P143" s="16" t="n"/>
    </row>
    <row r="144">
      <c r="B144" s="19" t="n"/>
      <c r="C144" s="20" t="inlineStr">
        <is>
          <t>TOTAL ACTIVIDAD</t>
        </is>
      </c>
      <c r="D144" s="21">
        <f>D143+H143+M143</f>
        <v/>
      </c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>
      <c r="B145" s="11" t="inlineStr">
        <is>
          <t>5.1.5</t>
        </is>
      </c>
      <c r="C145" s="12" t="inlineStr">
        <is>
          <t>Verificar cobertura de requisitos ISO 25010</t>
        </is>
      </c>
      <c r="D145" s="13" t="inlineStr">
        <is>
          <t>Diego Rodríguez (QA)</t>
        </is>
      </c>
      <c r="E145" s="14" t="n">
        <v>2</v>
      </c>
      <c r="F145" s="15" t="n">
        <v>16</v>
      </c>
      <c r="G145" s="15">
        <f>E145*F145</f>
        <v/>
      </c>
      <c r="H145" s="13" t="inlineStr">
        <is>
          <t>Alquiler Laptop desarrollo</t>
        </is>
      </c>
      <c r="I145" s="14" t="n">
        <v>1</v>
      </c>
      <c r="J145" s="15" t="n">
        <v>5</v>
      </c>
      <c r="K145" s="14" t="n">
        <v>2</v>
      </c>
      <c r="L145" s="15">
        <f>I145*J145*K145</f>
        <v/>
      </c>
      <c r="M145" s="13" t="inlineStr">
        <is>
          <t>Energía eléctrica e internet</t>
        </is>
      </c>
      <c r="N145" s="14" t="n">
        <v>1</v>
      </c>
      <c r="O145" s="15" t="n">
        <v>8</v>
      </c>
      <c r="P145" s="15">
        <f>N145*O145</f>
        <v/>
      </c>
    </row>
    <row r="146">
      <c r="B146" s="16" t="n"/>
      <c r="C146" s="17" t="inlineStr">
        <is>
          <t>SUB TOTAL ACTIVIDAD</t>
        </is>
      </c>
      <c r="D146" s="18">
        <f>SUM(G145:G145)</f>
        <v/>
      </c>
      <c r="E146" s="16" t="n"/>
      <c r="F146" s="16" t="n"/>
      <c r="G146" s="16" t="n"/>
      <c r="H146" s="18">
        <f>SUM(L145:L145)</f>
        <v/>
      </c>
      <c r="I146" s="16" t="n"/>
      <c r="J146" s="16" t="n"/>
      <c r="K146" s="16" t="n"/>
      <c r="L146" s="16" t="n"/>
      <c r="M146" s="18">
        <f>SUM(P145:P145)</f>
        <v/>
      </c>
      <c r="N146" s="16" t="n"/>
      <c r="O146" s="16" t="n"/>
      <c r="P146" s="16" t="n"/>
    </row>
    <row r="147">
      <c r="B147" s="19" t="n"/>
      <c r="C147" s="20" t="inlineStr">
        <is>
          <t>TOTAL ACTIVIDAD</t>
        </is>
      </c>
      <c r="D147" s="21">
        <f>D146+H146+M146</f>
        <v/>
      </c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</row>
    <row r="148">
      <c r="B148" s="11" t="inlineStr">
        <is>
          <t>5.1.6</t>
        </is>
      </c>
      <c r="C148" s="12" t="inlineStr">
        <is>
          <t>Registrar y mitigar defectos encontrados</t>
        </is>
      </c>
      <c r="D148" s="13" t="inlineStr">
        <is>
          <t>Estibb Anhuaman (Frontend)</t>
        </is>
      </c>
      <c r="E148" s="14" t="n">
        <v>2</v>
      </c>
      <c r="F148" s="15" t="n">
        <v>16</v>
      </c>
      <c r="G148" s="15">
        <f>E148*F148</f>
        <v/>
      </c>
      <c r="H148" s="13" t="inlineStr">
        <is>
          <t>Alquiler Laptop desarrollo</t>
        </is>
      </c>
      <c r="I148" s="14" t="n">
        <v>1</v>
      </c>
      <c r="J148" s="15" t="n">
        <v>5</v>
      </c>
      <c r="K148" s="14" t="n">
        <v>2</v>
      </c>
      <c r="L148" s="15">
        <f>I148*J148*K148</f>
        <v/>
      </c>
      <c r="M148" s="13" t="inlineStr">
        <is>
          <t>Energía eléctrica e internet</t>
        </is>
      </c>
      <c r="N148" s="14" t="n">
        <v>1</v>
      </c>
      <c r="O148" s="15" t="n">
        <v>8</v>
      </c>
      <c r="P148" s="15">
        <f>N148*O148</f>
        <v/>
      </c>
    </row>
    <row r="149">
      <c r="B149" s="16" t="n"/>
      <c r="C149" s="17" t="inlineStr">
        <is>
          <t>SUB TOTAL ACTIVIDAD</t>
        </is>
      </c>
      <c r="D149" s="18">
        <f>SUM(G148:G148)</f>
        <v/>
      </c>
      <c r="E149" s="16" t="n"/>
      <c r="F149" s="16" t="n"/>
      <c r="G149" s="16" t="n"/>
      <c r="H149" s="18">
        <f>SUM(L148:L148)</f>
        <v/>
      </c>
      <c r="I149" s="16" t="n"/>
      <c r="J149" s="16" t="n"/>
      <c r="K149" s="16" t="n"/>
      <c r="L149" s="16" t="n"/>
      <c r="M149" s="18">
        <f>SUM(P148:P148)</f>
        <v/>
      </c>
      <c r="N149" s="16" t="n"/>
      <c r="O149" s="16" t="n"/>
      <c r="P149" s="16" t="n"/>
    </row>
    <row r="150">
      <c r="B150" s="19" t="n"/>
      <c r="C150" s="20" t="inlineStr">
        <is>
          <t>TOTAL ACTIVIDAD</t>
        </is>
      </c>
      <c r="D150" s="21">
        <f>D149+H149+M149</f>
        <v/>
      </c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>
      <c r="B151" s="11" t="inlineStr">
        <is>
          <t>5.2.1</t>
        </is>
      </c>
      <c r="C151" s="12" t="inlineStr">
        <is>
          <t>Ejecutar la revisión formal SQA</t>
        </is>
      </c>
      <c r="D151" s="13" t="inlineStr">
        <is>
          <t>Gerardo Plasencia (Líder)</t>
        </is>
      </c>
      <c r="E151" s="14" t="n">
        <v>2.5</v>
      </c>
      <c r="F151" s="15" t="n">
        <v>16</v>
      </c>
      <c r="G151" s="15">
        <f>E151*F151</f>
        <v/>
      </c>
      <c r="H151" s="13" t="inlineStr">
        <is>
          <t>Alquiler Laptop desarrollo</t>
        </is>
      </c>
      <c r="I151" s="14" t="n">
        <v>1</v>
      </c>
      <c r="J151" s="15" t="n">
        <v>5</v>
      </c>
      <c r="K151" s="14" t="n">
        <v>2</v>
      </c>
      <c r="L151" s="15">
        <f>I151*J151*K151</f>
        <v/>
      </c>
      <c r="M151" s="13" t="inlineStr">
        <is>
          <t>Energía eléctrica e internet</t>
        </is>
      </c>
      <c r="N151" s="14" t="n">
        <v>1</v>
      </c>
      <c r="O151" s="15" t="n">
        <v>10</v>
      </c>
      <c r="P151" s="15">
        <f>N151*O151</f>
        <v/>
      </c>
    </row>
    <row r="152">
      <c r="B152" s="16" t="n"/>
      <c r="C152" s="17" t="inlineStr">
        <is>
          <t>SUB TOTAL ACTIVIDAD</t>
        </is>
      </c>
      <c r="D152" s="18">
        <f>SUM(G151:G151)</f>
        <v/>
      </c>
      <c r="E152" s="16" t="n"/>
      <c r="F152" s="16" t="n"/>
      <c r="G152" s="16" t="n"/>
      <c r="H152" s="18">
        <f>SUM(L151:L151)</f>
        <v/>
      </c>
      <c r="I152" s="16" t="n"/>
      <c r="J152" s="16" t="n"/>
      <c r="K152" s="16" t="n"/>
      <c r="L152" s="16" t="n"/>
      <c r="M152" s="18">
        <f>SUM(P151:P151)</f>
        <v/>
      </c>
      <c r="N152" s="16" t="n"/>
      <c r="O152" s="16" t="n"/>
      <c r="P152" s="16" t="n"/>
    </row>
    <row r="153">
      <c r="B153" s="19" t="n"/>
      <c r="C153" s="20" t="inlineStr">
        <is>
          <t>TOTAL ACTIVIDAD</t>
        </is>
      </c>
      <c r="D153" s="21">
        <f>D152+H152+M152</f>
        <v/>
      </c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>
      <c r="B154" s="11" t="inlineStr">
        <is>
          <t>5.2.2</t>
        </is>
      </c>
      <c r="C154" s="12" t="inlineStr">
        <is>
          <t>Controlar versiones y Pipeline CI/CD</t>
        </is>
      </c>
      <c r="D154" s="13" t="inlineStr">
        <is>
          <t>Gerardo Plasencia (DevOps)</t>
        </is>
      </c>
      <c r="E154" s="14" t="n">
        <v>2.5</v>
      </c>
      <c r="F154" s="15" t="n">
        <v>16</v>
      </c>
      <c r="G154" s="15">
        <f>E154*F154</f>
        <v/>
      </c>
      <c r="H154" s="13" t="inlineStr">
        <is>
          <t>Alquiler Laptop y entorno VPS</t>
        </is>
      </c>
      <c r="I154" s="14" t="n">
        <v>1</v>
      </c>
      <c r="J154" s="15" t="n">
        <v>5</v>
      </c>
      <c r="K154" s="14" t="n">
        <v>2</v>
      </c>
      <c r="L154" s="15">
        <f>I154*J154*K154</f>
        <v/>
      </c>
      <c r="M154" s="13" t="inlineStr">
        <is>
          <t>Energía eléctrica y hosting</t>
        </is>
      </c>
      <c r="N154" s="14" t="n">
        <v>1</v>
      </c>
      <c r="O154" s="15" t="n">
        <v>10</v>
      </c>
      <c r="P154" s="15">
        <f>N154*O154</f>
        <v/>
      </c>
    </row>
    <row r="155">
      <c r="B155" s="16" t="n"/>
      <c r="C155" s="17" t="inlineStr">
        <is>
          <t>SUB TOTAL ACTIVIDAD</t>
        </is>
      </c>
      <c r="D155" s="18">
        <f>SUM(G154:G154)</f>
        <v/>
      </c>
      <c r="E155" s="16" t="n"/>
      <c r="F155" s="16" t="n"/>
      <c r="G155" s="16" t="n"/>
      <c r="H155" s="18">
        <f>SUM(L154:L154)</f>
        <v/>
      </c>
      <c r="I155" s="16" t="n"/>
      <c r="J155" s="16" t="n"/>
      <c r="K155" s="16" t="n"/>
      <c r="L155" s="16" t="n"/>
      <c r="M155" s="18">
        <f>SUM(P154:P154)</f>
        <v/>
      </c>
      <c r="N155" s="16" t="n"/>
      <c r="O155" s="16" t="n"/>
      <c r="P155" s="16" t="n"/>
    </row>
    <row r="156">
      <c r="B156" s="19" t="n"/>
      <c r="C156" s="20" t="inlineStr">
        <is>
          <t>TOTAL ACTIVIDAD</t>
        </is>
      </c>
      <c r="D156" s="21">
        <f>D155+H155+M155</f>
        <v/>
      </c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</row>
    <row r="157">
      <c r="B157" s="11" t="inlineStr">
        <is>
          <t>5.3.1</t>
        </is>
      </c>
      <c r="C157" s="12" t="inlineStr">
        <is>
          <t>Aplicar encuesta de satisfacción al cliente</t>
        </is>
      </c>
      <c r="D157" s="13" t="inlineStr">
        <is>
          <t>Estibb Anhuaman (Frontend)</t>
        </is>
      </c>
      <c r="E157" s="14" t="n">
        <v>2.5</v>
      </c>
      <c r="F157" s="15" t="n">
        <v>16</v>
      </c>
      <c r="G157" s="15">
        <f>E157*F157</f>
        <v/>
      </c>
      <c r="H157" s="13" t="inlineStr">
        <is>
          <t>Alquiler Laptop desarrollo</t>
        </is>
      </c>
      <c r="I157" s="14" t="n">
        <v>1</v>
      </c>
      <c r="J157" s="15" t="n">
        <v>5</v>
      </c>
      <c r="K157" s="14" t="n">
        <v>2</v>
      </c>
      <c r="L157" s="15">
        <f>I157*J157*K157</f>
        <v/>
      </c>
      <c r="M157" s="13" t="inlineStr">
        <is>
          <t>Formularios impresos y energía</t>
        </is>
      </c>
      <c r="N157" s="14" t="n">
        <v>1</v>
      </c>
      <c r="O157" s="15" t="n">
        <v>10</v>
      </c>
      <c r="P157" s="15">
        <f>N157*O157</f>
        <v/>
      </c>
    </row>
    <row r="158">
      <c r="B158" s="16" t="n"/>
      <c r="C158" s="17" t="inlineStr">
        <is>
          <t>SUB TOTAL ACTIVIDAD</t>
        </is>
      </c>
      <c r="D158" s="18">
        <f>SUM(G157:G157)</f>
        <v/>
      </c>
      <c r="E158" s="16" t="n"/>
      <c r="F158" s="16" t="n"/>
      <c r="G158" s="16" t="n"/>
      <c r="H158" s="18">
        <f>SUM(L157:L157)</f>
        <v/>
      </c>
      <c r="I158" s="16" t="n"/>
      <c r="J158" s="16" t="n"/>
      <c r="K158" s="16" t="n"/>
      <c r="L158" s="16" t="n"/>
      <c r="M158" s="18">
        <f>SUM(P157:P157)</f>
        <v/>
      </c>
      <c r="N158" s="16" t="n"/>
      <c r="O158" s="16" t="n"/>
      <c r="P158" s="16" t="n"/>
    </row>
    <row r="159">
      <c r="B159" s="19" t="n"/>
      <c r="C159" s="20" t="inlineStr">
        <is>
          <t>TOTAL ACTIVIDAD</t>
        </is>
      </c>
      <c r="D159" s="21">
        <f>D158+H158+M158</f>
        <v/>
      </c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</row>
    <row r="160">
      <c r="B160" s="22" t="inlineStr">
        <is>
          <t>SUB TOTAL PAQUETE</t>
        </is>
      </c>
      <c r="C160" s="16" t="n"/>
      <c r="D160" s="23">
        <f>SUM(D134,D137,D140,D143,D146,D149,D152,D155,D158)</f>
        <v/>
      </c>
      <c r="E160" s="16" t="n"/>
      <c r="F160" s="16" t="n"/>
      <c r="G160" s="16" t="n"/>
      <c r="H160" s="23">
        <f>SUM(H134,H137,H140,H143,H146,H149,H152,H155,H158)</f>
        <v/>
      </c>
      <c r="I160" s="16" t="n"/>
      <c r="J160" s="16" t="n"/>
      <c r="K160" s="16" t="n"/>
      <c r="L160" s="16" t="n"/>
      <c r="M160" s="23">
        <f>SUM(M134,M137,M140,M143,M146,M149,M152,M155,M158)</f>
        <v/>
      </c>
      <c r="N160" s="16" t="n"/>
      <c r="O160" s="16" t="n"/>
      <c r="P160" s="16" t="n"/>
    </row>
    <row r="161">
      <c r="B161" s="24" t="inlineStr">
        <is>
          <t>TOTAL PAQUETE</t>
        </is>
      </c>
      <c r="C161" s="19" t="n"/>
      <c r="D161" s="25">
        <f>D160+H160+M160</f>
        <v/>
      </c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3">
      <c r="B163" s="1" t="inlineStr">
        <is>
          <t>PAQUETE DE TRABAJO / ENTREGABLE</t>
        </is>
      </c>
      <c r="D163" s="2" t="inlineStr">
        <is>
          <t>EDT 6.0 — DESPLIEGUE EN PRODUCCIÓN Y CIERRE OPERATIVO EN PLANTA</t>
        </is>
      </c>
    </row>
    <row r="164">
      <c r="B164" s="3" t="inlineStr">
        <is>
          <t>ACTIVIDAD</t>
        </is>
      </c>
      <c r="D164" s="3" t="inlineStr">
        <is>
          <t>COSTOS</t>
        </is>
      </c>
    </row>
    <row r="165">
      <c r="B165" s="4" t="inlineStr">
        <is>
          <t>CODIGO</t>
        </is>
      </c>
      <c r="C165" s="4" t="inlineStr">
        <is>
          <t>DESCRIPCION</t>
        </is>
      </c>
      <c r="D165" s="5" t="inlineStr">
        <is>
          <t>RECURSOS HUMANOS</t>
        </is>
      </c>
      <c r="E165" s="6" t="n"/>
      <c r="F165" s="6" t="n"/>
      <c r="G165" s="6" t="n"/>
      <c r="H165" s="7" t="inlineStr">
        <is>
          <t>MAQUINARIA/EQUIPOS/INFRAESTRUCTURA</t>
        </is>
      </c>
      <c r="I165" s="8" t="n"/>
      <c r="J165" s="8" t="n"/>
      <c r="K165" s="8" t="n"/>
      <c r="L165" s="8" t="n"/>
      <c r="M165" s="9" t="inlineStr">
        <is>
          <t>CONSUMIBLES/SERVICIOS</t>
        </is>
      </c>
      <c r="N165" s="10" t="n"/>
      <c r="O165" s="10" t="n"/>
      <c r="P165" s="10" t="n"/>
    </row>
    <row r="166">
      <c r="D166" s="5" t="inlineStr">
        <is>
          <t>Nombre del Recurso</t>
        </is>
      </c>
      <c r="E166" s="5" t="inlineStr">
        <is>
          <t>Numero de Horas</t>
        </is>
      </c>
      <c r="F166" s="5" t="inlineStr">
        <is>
          <t>Costo x Hora</t>
        </is>
      </c>
      <c r="G166" s="5" t="inlineStr">
        <is>
          <t>Costo Total</t>
        </is>
      </c>
      <c r="H166" s="7" t="inlineStr">
        <is>
          <t>Nombre del Recurso</t>
        </is>
      </c>
      <c r="I166" s="7" t="inlineStr">
        <is>
          <t>Cantidad</t>
        </is>
      </c>
      <c r="J166" s="7" t="inlineStr">
        <is>
          <t>Costo x día</t>
        </is>
      </c>
      <c r="K166" s="7" t="inlineStr">
        <is>
          <t>Nro. De días</t>
        </is>
      </c>
      <c r="L166" s="7" t="inlineStr">
        <is>
          <t>Total</t>
        </is>
      </c>
      <c r="M166" s="9" t="inlineStr">
        <is>
          <t>Nombre del Recurso</t>
        </is>
      </c>
      <c r="N166" s="9" t="inlineStr">
        <is>
          <t>Cantidad</t>
        </is>
      </c>
      <c r="O166" s="9" t="inlineStr">
        <is>
          <t>Costo Unitario</t>
        </is>
      </c>
      <c r="P166" s="9" t="inlineStr">
        <is>
          <t>IMPORTE</t>
        </is>
      </c>
    </row>
    <row r="167">
      <c r="B167" s="11" t="inlineStr">
        <is>
          <t>6.1.1</t>
        </is>
      </c>
      <c r="C167" s="12" t="inlineStr">
        <is>
          <t>Desplegar en producción VPS particular propio</t>
        </is>
      </c>
      <c r="D167" s="13" t="inlineStr">
        <is>
          <t>Gerardo Plasencia (DevOps)</t>
        </is>
      </c>
      <c r="E167" s="14" t="n">
        <v>8</v>
      </c>
      <c r="F167" s="15" t="n">
        <v>18</v>
      </c>
      <c r="G167" s="15">
        <f>E167*F167</f>
        <v/>
      </c>
      <c r="H167" s="13" t="inlineStr">
        <is>
          <t>Alquiler Laptops desarrollo y Servidor VPS</t>
        </is>
      </c>
      <c r="I167" s="14" t="n">
        <v>2</v>
      </c>
      <c r="J167" s="15" t="n">
        <v>5</v>
      </c>
      <c r="K167" s="14" t="n">
        <v>4.5</v>
      </c>
      <c r="L167" s="15">
        <f>I167*J167*K167</f>
        <v/>
      </c>
      <c r="M167" s="13" t="inlineStr">
        <is>
          <t>Energía eléctrica e internet</t>
        </is>
      </c>
      <c r="N167" s="14" t="n">
        <v>1</v>
      </c>
      <c r="O167" s="15" t="n">
        <v>27</v>
      </c>
      <c r="P167" s="15">
        <f>N167*O167</f>
        <v/>
      </c>
    </row>
    <row r="168">
      <c r="B168" s="16" t="n"/>
      <c r="C168" s="16" t="n"/>
      <c r="D168" s="13" t="inlineStr">
        <is>
          <t>Diego Rodríguez (Backend)</t>
        </is>
      </c>
      <c r="E168" s="14" t="n">
        <v>4</v>
      </c>
      <c r="F168" s="15" t="n">
        <v>16</v>
      </c>
      <c r="G168" s="15">
        <f>E168*F168</f>
        <v/>
      </c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</row>
    <row r="169">
      <c r="B169" s="16" t="n"/>
      <c r="C169" s="17" t="inlineStr">
        <is>
          <t>SUB TOTAL ACTIVIDAD</t>
        </is>
      </c>
      <c r="D169" s="18">
        <f>SUM(G167:G168)</f>
        <v/>
      </c>
      <c r="E169" s="16" t="n"/>
      <c r="F169" s="16" t="n"/>
      <c r="G169" s="16" t="n"/>
      <c r="H169" s="18">
        <f>SUM(L167:L168)</f>
        <v/>
      </c>
      <c r="I169" s="16" t="n"/>
      <c r="J169" s="16" t="n"/>
      <c r="K169" s="16" t="n"/>
      <c r="L169" s="16" t="n"/>
      <c r="M169" s="18">
        <f>SUM(P167:P168)</f>
        <v/>
      </c>
      <c r="N169" s="16" t="n"/>
      <c r="O169" s="16" t="n"/>
      <c r="P169" s="16" t="n"/>
    </row>
    <row r="170">
      <c r="B170" s="19" t="n"/>
      <c r="C170" s="20" t="inlineStr">
        <is>
          <t>TOTAL ACTIVIDAD</t>
        </is>
      </c>
      <c r="D170" s="21">
        <f>D169+H169+M169</f>
        <v/>
      </c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</row>
    <row r="171">
      <c r="B171" s="11" t="inlineStr">
        <is>
          <t>6.1.2</t>
        </is>
      </c>
      <c r="C171" s="12" t="inlineStr">
        <is>
          <t>Entregar el software en planta y validar PCs</t>
        </is>
      </c>
      <c r="D171" s="13" t="inlineStr">
        <is>
          <t>Gerardo Plasencia (Líder)</t>
        </is>
      </c>
      <c r="E171" s="14" t="n">
        <v>4</v>
      </c>
      <c r="F171" s="15" t="n">
        <v>15</v>
      </c>
      <c r="G171" s="15">
        <f>E171*F171</f>
        <v/>
      </c>
      <c r="H171" s="13" t="inlineStr">
        <is>
          <t>Alquiler Laptop y traslados a planta</t>
        </is>
      </c>
      <c r="I171" s="14" t="n">
        <v>1</v>
      </c>
      <c r="J171" s="15" t="n">
        <v>25</v>
      </c>
      <c r="K171" s="14" t="n">
        <v>1</v>
      </c>
      <c r="L171" s="15">
        <f>I171*J171*K171</f>
        <v/>
      </c>
      <c r="M171" s="13" t="inlineStr">
        <is>
          <t>Energía y actas impresas</t>
        </is>
      </c>
      <c r="N171" s="14" t="n">
        <v>1</v>
      </c>
      <c r="O171" s="15" t="n">
        <v>15</v>
      </c>
      <c r="P171" s="15">
        <f>N171*O171</f>
        <v/>
      </c>
    </row>
    <row r="172">
      <c r="B172" s="16" t="n"/>
      <c r="C172" s="17" t="inlineStr">
        <is>
          <t>SUB TOTAL ACTIVIDAD</t>
        </is>
      </c>
      <c r="D172" s="18">
        <f>SUM(G171:G171)</f>
        <v/>
      </c>
      <c r="E172" s="16" t="n"/>
      <c r="F172" s="16" t="n"/>
      <c r="G172" s="16" t="n"/>
      <c r="H172" s="18">
        <f>SUM(L171:L171)</f>
        <v/>
      </c>
      <c r="I172" s="16" t="n"/>
      <c r="J172" s="16" t="n"/>
      <c r="K172" s="16" t="n"/>
      <c r="L172" s="16" t="n"/>
      <c r="M172" s="18">
        <f>SUM(P171:P171)</f>
        <v/>
      </c>
      <c r="N172" s="16" t="n"/>
      <c r="O172" s="16" t="n"/>
      <c r="P172" s="16" t="n"/>
    </row>
    <row r="173">
      <c r="B173" s="19" t="n"/>
      <c r="C173" s="20" t="inlineStr">
        <is>
          <t>TOTAL ACTIVIDAD</t>
        </is>
      </c>
      <c r="D173" s="21">
        <f>D172+H172+M172</f>
        <v/>
      </c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>
      <c r="B174" s="11" t="inlineStr">
        <is>
          <t>6.2.1</t>
        </is>
      </c>
      <c r="C174" s="12" t="inlineStr">
        <is>
          <t>Elaborar el manual de usuario ilustrado</t>
        </is>
      </c>
      <c r="D174" s="13" t="inlineStr">
        <is>
          <t>Estibb Anhuaman (Frontend)</t>
        </is>
      </c>
      <c r="E174" s="14" t="n">
        <v>8</v>
      </c>
      <c r="F174" s="15" t="n">
        <v>15</v>
      </c>
      <c r="G174" s="15">
        <f>E174*F174</f>
        <v/>
      </c>
      <c r="H174" s="13" t="inlineStr">
        <is>
          <t>Alquiler Laptop desarrollo</t>
        </is>
      </c>
      <c r="I174" s="14" t="n">
        <v>1</v>
      </c>
      <c r="J174" s="15" t="n">
        <v>5</v>
      </c>
      <c r="K174" s="14" t="n">
        <v>7</v>
      </c>
      <c r="L174" s="15">
        <f>I174*J174*K174</f>
        <v/>
      </c>
      <c r="M174" s="13" t="inlineStr">
        <is>
          <t>Energía eléctrica e impresiones</t>
        </is>
      </c>
      <c r="N174" s="14" t="n">
        <v>1</v>
      </c>
      <c r="O174" s="15" t="n">
        <v>25</v>
      </c>
      <c r="P174" s="15">
        <f>N174*O174</f>
        <v/>
      </c>
    </row>
    <row r="175">
      <c r="B175" s="16" t="n"/>
      <c r="C175" s="17" t="inlineStr">
        <is>
          <t>SUB TOTAL ACTIVIDAD</t>
        </is>
      </c>
      <c r="D175" s="18">
        <f>SUM(G174:G174)</f>
        <v/>
      </c>
      <c r="E175" s="16" t="n"/>
      <c r="F175" s="16" t="n"/>
      <c r="G175" s="16" t="n"/>
      <c r="H175" s="18">
        <f>SUM(L174:L174)</f>
        <v/>
      </c>
      <c r="I175" s="16" t="n"/>
      <c r="J175" s="16" t="n"/>
      <c r="K175" s="16" t="n"/>
      <c r="L175" s="16" t="n"/>
      <c r="M175" s="18">
        <f>SUM(P174:P174)</f>
        <v/>
      </c>
      <c r="N175" s="16" t="n"/>
      <c r="O175" s="16" t="n"/>
      <c r="P175" s="16" t="n"/>
    </row>
    <row r="176">
      <c r="B176" s="19" t="n"/>
      <c r="C176" s="20" t="inlineStr">
        <is>
          <t>TOTAL ACTIVIDAD</t>
        </is>
      </c>
      <c r="D176" s="21">
        <f>D175+H175+M175</f>
        <v/>
      </c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>
      <c r="B177" s="11" t="inlineStr">
        <is>
          <t>6.2.2</t>
        </is>
      </c>
      <c r="C177" s="12" t="inlineStr">
        <is>
          <t>Elaborar guía técnica de despliegue</t>
        </is>
      </c>
      <c r="D177" s="13" t="inlineStr">
        <is>
          <t>Diego Rodríguez (Backend)</t>
        </is>
      </c>
      <c r="E177" s="14" t="n">
        <v>2</v>
      </c>
      <c r="F177" s="15" t="n">
        <v>16</v>
      </c>
      <c r="G177" s="15">
        <f>E177*F177</f>
        <v/>
      </c>
      <c r="H177" s="13" t="inlineStr">
        <is>
          <t>Alquiler Laptop desarrollo</t>
        </is>
      </c>
      <c r="I177" s="14" t="n">
        <v>1</v>
      </c>
      <c r="J177" s="15" t="n">
        <v>5</v>
      </c>
      <c r="K177" s="14" t="n">
        <v>2</v>
      </c>
      <c r="L177" s="15">
        <f>I177*J177*K177</f>
        <v/>
      </c>
      <c r="M177" s="13" t="inlineStr">
        <is>
          <t>Energía eléctrica e internet</t>
        </is>
      </c>
      <c r="N177" s="14" t="n">
        <v>1</v>
      </c>
      <c r="O177" s="15" t="n">
        <v>8</v>
      </c>
      <c r="P177" s="15">
        <f>N177*O177</f>
        <v/>
      </c>
    </row>
    <row r="178">
      <c r="B178" s="16" t="n"/>
      <c r="C178" s="17" t="inlineStr">
        <is>
          <t>SUB TOTAL ACTIVIDAD</t>
        </is>
      </c>
      <c r="D178" s="18">
        <f>SUM(G177:G177)</f>
        <v/>
      </c>
      <c r="E178" s="16" t="n"/>
      <c r="F178" s="16" t="n"/>
      <c r="G178" s="16" t="n"/>
      <c r="H178" s="18">
        <f>SUM(L177:L177)</f>
        <v/>
      </c>
      <c r="I178" s="16" t="n"/>
      <c r="J178" s="16" t="n"/>
      <c r="K178" s="16" t="n"/>
      <c r="L178" s="16" t="n"/>
      <c r="M178" s="18">
        <f>SUM(P177:P177)</f>
        <v/>
      </c>
      <c r="N178" s="16" t="n"/>
      <c r="O178" s="16" t="n"/>
      <c r="P178" s="16" t="n"/>
    </row>
    <row r="179">
      <c r="B179" s="19" t="n"/>
      <c r="C179" s="20" t="inlineStr">
        <is>
          <t>TOTAL ACTIVIDAD</t>
        </is>
      </c>
      <c r="D179" s="21">
        <f>D178+H178+M178</f>
        <v/>
      </c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</row>
    <row r="180">
      <c r="B180" s="11" t="inlineStr">
        <is>
          <t>6.2.3</t>
        </is>
      </c>
      <c r="C180" s="12" t="inlineStr">
        <is>
          <t>Capacitar al personal operativo de imprenta</t>
        </is>
      </c>
      <c r="D180" s="13" t="inlineStr">
        <is>
          <t>Gerardo Plasencia (Líder)</t>
        </is>
      </c>
      <c r="E180" s="14" t="n">
        <v>2</v>
      </c>
      <c r="F180" s="15" t="n">
        <v>15</v>
      </c>
      <c r="G180" s="15">
        <f>E180*F180</f>
        <v/>
      </c>
      <c r="H180" s="13" t="inlineStr">
        <is>
          <t>Alquiler Laptop y proyector taller</t>
        </is>
      </c>
      <c r="I180" s="14" t="n">
        <v>1</v>
      </c>
      <c r="J180" s="15" t="n">
        <v>20</v>
      </c>
      <c r="K180" s="14" t="n">
        <v>1</v>
      </c>
      <c r="L180" s="15">
        <f>I180*J180*K180</f>
        <v/>
      </c>
      <c r="M180" s="13" t="inlineStr">
        <is>
          <t>Material de capacitación impreso</t>
        </is>
      </c>
      <c r="N180" s="14" t="n">
        <v>1</v>
      </c>
      <c r="O180" s="15" t="n">
        <v>10</v>
      </c>
      <c r="P180" s="15">
        <f>N180*O180</f>
        <v/>
      </c>
    </row>
    <row r="181">
      <c r="B181" s="16" t="n"/>
      <c r="C181" s="16" t="n"/>
      <c r="D181" s="13" t="inlineStr">
        <is>
          <t>Estibb Anhuaman (Frontend)</t>
        </is>
      </c>
      <c r="E181" s="14" t="n">
        <v>2</v>
      </c>
      <c r="F181" s="15" t="n">
        <v>15</v>
      </c>
      <c r="G181" s="15">
        <f>E181*F181</f>
        <v/>
      </c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</row>
    <row r="182">
      <c r="B182" s="16" t="n"/>
      <c r="C182" s="17" t="inlineStr">
        <is>
          <t>SUB TOTAL ACTIVIDAD</t>
        </is>
      </c>
      <c r="D182" s="18">
        <f>SUM(G180:G181)</f>
        <v/>
      </c>
      <c r="E182" s="16" t="n"/>
      <c r="F182" s="16" t="n"/>
      <c r="G182" s="16" t="n"/>
      <c r="H182" s="18">
        <f>SUM(L180:L181)</f>
        <v/>
      </c>
      <c r="I182" s="16" t="n"/>
      <c r="J182" s="16" t="n"/>
      <c r="K182" s="16" t="n"/>
      <c r="L182" s="16" t="n"/>
      <c r="M182" s="18">
        <f>SUM(P180:P181)</f>
        <v/>
      </c>
      <c r="N182" s="16" t="n"/>
      <c r="O182" s="16" t="n"/>
      <c r="P182" s="16" t="n"/>
    </row>
    <row r="183">
      <c r="B183" s="19" t="n"/>
      <c r="C183" s="20" t="inlineStr">
        <is>
          <t>TOTAL ACTIVIDAD</t>
        </is>
      </c>
      <c r="D183" s="21">
        <f>D182+H182+M182</f>
        <v/>
      </c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>
      <c r="B184" s="22" t="inlineStr">
        <is>
          <t>SUB TOTAL PAQUETE</t>
        </is>
      </c>
      <c r="C184" s="16" t="n"/>
      <c r="D184" s="23">
        <f>SUM(D169,D172,D175,D178,D182)</f>
        <v/>
      </c>
      <c r="E184" s="16" t="n"/>
      <c r="F184" s="16" t="n"/>
      <c r="G184" s="16" t="n"/>
      <c r="H184" s="23">
        <f>SUM(H169,H172,H175,H178,H182)</f>
        <v/>
      </c>
      <c r="I184" s="16" t="n"/>
      <c r="J184" s="16" t="n"/>
      <c r="K184" s="16" t="n"/>
      <c r="L184" s="16" t="n"/>
      <c r="M184" s="23">
        <f>SUM(M169,M172,M175,M178,M182)</f>
        <v/>
      </c>
      <c r="N184" s="16" t="n"/>
      <c r="O184" s="16" t="n"/>
      <c r="P184" s="16" t="n"/>
    </row>
    <row r="185">
      <c r="B185" s="24" t="inlineStr">
        <is>
          <t>TOTAL PAQUETE</t>
        </is>
      </c>
      <c r="C185" s="19" t="n"/>
      <c r="D185" s="25">
        <f>D184+H184+M184</f>
        <v/>
      </c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7">
      <c r="B187" s="1" t="inlineStr">
        <is>
          <t>PAQUETE DE TRABAJO / ENTREGABLE</t>
        </is>
      </c>
      <c r="D187" s="2" t="inlineStr">
        <is>
          <t>EDT 7.0 — PRÁCTICAS DE CAMPO, RSU Y EVALUACIÓN CIENTÍFICA</t>
        </is>
      </c>
    </row>
    <row r="188">
      <c r="B188" s="3" t="inlineStr">
        <is>
          <t>ACTIVIDAD</t>
        </is>
      </c>
      <c r="D188" s="3" t="inlineStr">
        <is>
          <t>COSTOS</t>
        </is>
      </c>
    </row>
    <row r="189">
      <c r="B189" s="4" t="inlineStr">
        <is>
          <t>CODIGO</t>
        </is>
      </c>
      <c r="C189" s="4" t="inlineStr">
        <is>
          <t>DESCRIPCION</t>
        </is>
      </c>
      <c r="D189" s="5" t="inlineStr">
        <is>
          <t>RECURSOS HUMANOS</t>
        </is>
      </c>
      <c r="E189" s="6" t="n"/>
      <c r="F189" s="6" t="n"/>
      <c r="G189" s="6" t="n"/>
      <c r="H189" s="7" t="inlineStr">
        <is>
          <t>MAQUINARIA/EQUIPOS/INFRAESTRUCTURA</t>
        </is>
      </c>
      <c r="I189" s="8" t="n"/>
      <c r="J189" s="8" t="n"/>
      <c r="K189" s="8" t="n"/>
      <c r="L189" s="8" t="n"/>
      <c r="M189" s="9" t="inlineStr">
        <is>
          <t>CONSUMIBLES/SERVICIOS</t>
        </is>
      </c>
      <c r="N189" s="10" t="n"/>
      <c r="O189" s="10" t="n"/>
      <c r="P189" s="10" t="n"/>
    </row>
    <row r="190">
      <c r="D190" s="5" t="inlineStr">
        <is>
          <t>Nombre del Recurso</t>
        </is>
      </c>
      <c r="E190" s="5" t="inlineStr">
        <is>
          <t>Numero de Horas</t>
        </is>
      </c>
      <c r="F190" s="5" t="inlineStr">
        <is>
          <t>Costo x Hora</t>
        </is>
      </c>
      <c r="G190" s="5" t="inlineStr">
        <is>
          <t>Costo Total</t>
        </is>
      </c>
      <c r="H190" s="7" t="inlineStr">
        <is>
          <t>Nombre del Recurso</t>
        </is>
      </c>
      <c r="I190" s="7" t="inlineStr">
        <is>
          <t>Cantidad</t>
        </is>
      </c>
      <c r="J190" s="7" t="inlineStr">
        <is>
          <t>Costo x día</t>
        </is>
      </c>
      <c r="K190" s="7" t="inlineStr">
        <is>
          <t>Nro. De días</t>
        </is>
      </c>
      <c r="L190" s="7" t="inlineStr">
        <is>
          <t>Total</t>
        </is>
      </c>
      <c r="M190" s="9" t="inlineStr">
        <is>
          <t>Nombre del Recurso</t>
        </is>
      </c>
      <c r="N190" s="9" t="inlineStr">
        <is>
          <t>Cantidad</t>
        </is>
      </c>
      <c r="O190" s="9" t="inlineStr">
        <is>
          <t>Costo Unitario</t>
        </is>
      </c>
      <c r="P190" s="9" t="inlineStr">
        <is>
          <t>IMPORTE</t>
        </is>
      </c>
    </row>
    <row r="191">
      <c r="B191" s="11" t="inlineStr">
        <is>
          <t>7.1.1</t>
        </is>
      </c>
      <c r="C191" s="12" t="inlineStr">
        <is>
          <t>Recolectar los datos iniciales en taller</t>
        </is>
      </c>
      <c r="D191" s="13" t="inlineStr">
        <is>
          <t>Gerardo Plasencia (Líder)</t>
        </is>
      </c>
      <c r="E191" s="14" t="n">
        <v>2.5</v>
      </c>
      <c r="F191" s="15" t="n">
        <v>16</v>
      </c>
      <c r="G191" s="15">
        <f>E191*F191</f>
        <v/>
      </c>
      <c r="H191" s="13" t="inlineStr">
        <is>
          <t>Alquiler Laptop desarrollo</t>
        </is>
      </c>
      <c r="I191" s="14" t="n">
        <v>1</v>
      </c>
      <c r="J191" s="15" t="n">
        <v>5</v>
      </c>
      <c r="K191" s="14" t="n">
        <v>2</v>
      </c>
      <c r="L191" s="15">
        <f>I191*J191*K191</f>
        <v/>
      </c>
      <c r="M191" s="13" t="inlineStr">
        <is>
          <t>Energía e internet</t>
        </is>
      </c>
      <c r="N191" s="14" t="n">
        <v>1</v>
      </c>
      <c r="O191" s="15" t="n">
        <v>10</v>
      </c>
      <c r="P191" s="15">
        <f>N191*O191</f>
        <v/>
      </c>
    </row>
    <row r="192">
      <c r="B192" s="16" t="n"/>
      <c r="C192" s="17" t="inlineStr">
        <is>
          <t>SUB TOTAL ACTIVIDAD</t>
        </is>
      </c>
      <c r="D192" s="18">
        <f>SUM(G191:G191)</f>
        <v/>
      </c>
      <c r="E192" s="16" t="n"/>
      <c r="F192" s="16" t="n"/>
      <c r="G192" s="16" t="n"/>
      <c r="H192" s="18">
        <f>SUM(L191:L191)</f>
        <v/>
      </c>
      <c r="I192" s="16" t="n"/>
      <c r="J192" s="16" t="n"/>
      <c r="K192" s="16" t="n"/>
      <c r="L192" s="16" t="n"/>
      <c r="M192" s="18">
        <f>SUM(P191:P191)</f>
        <v/>
      </c>
      <c r="N192" s="16" t="n"/>
      <c r="O192" s="16" t="n"/>
      <c r="P192" s="16" t="n"/>
    </row>
    <row r="193">
      <c r="B193" s="19" t="n"/>
      <c r="C193" s="20" t="inlineStr">
        <is>
          <t>TOTAL ACTIVIDAD</t>
        </is>
      </c>
      <c r="D193" s="21">
        <f>D192+H192+M192</f>
        <v/>
      </c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</row>
    <row r="194">
      <c r="B194" s="11" t="inlineStr">
        <is>
          <t>7.1.2</t>
        </is>
      </c>
      <c r="C194" s="12" t="inlineStr">
        <is>
          <t>Redactar el Capítulo I: Introducción</t>
        </is>
      </c>
      <c r="D194" s="13" t="inlineStr">
        <is>
          <t>Estibb Anhuaman (Frontend)</t>
        </is>
      </c>
      <c r="E194" s="14" t="n">
        <v>2.5</v>
      </c>
      <c r="F194" s="15" t="n">
        <v>16</v>
      </c>
      <c r="G194" s="15">
        <f>E194*F194</f>
        <v/>
      </c>
      <c r="H194" s="13" t="inlineStr">
        <is>
          <t>Alquiler Laptop desarrollo</t>
        </is>
      </c>
      <c r="I194" s="14" t="n">
        <v>1</v>
      </c>
      <c r="J194" s="15" t="n">
        <v>5</v>
      </c>
      <c r="K194" s="14" t="n">
        <v>2</v>
      </c>
      <c r="L194" s="15">
        <f>I194*J194*K194</f>
        <v/>
      </c>
      <c r="M194" s="13" t="inlineStr">
        <is>
          <t>Energía e internet</t>
        </is>
      </c>
      <c r="N194" s="14" t="n">
        <v>1</v>
      </c>
      <c r="O194" s="15" t="n">
        <v>10</v>
      </c>
      <c r="P194" s="15">
        <f>N194*O194</f>
        <v/>
      </c>
    </row>
    <row r="195">
      <c r="B195" s="16" t="n"/>
      <c r="C195" s="17" t="inlineStr">
        <is>
          <t>SUB TOTAL ACTIVIDAD</t>
        </is>
      </c>
      <c r="D195" s="18">
        <f>SUM(G194:G194)</f>
        <v/>
      </c>
      <c r="E195" s="16" t="n"/>
      <c r="F195" s="16" t="n"/>
      <c r="G195" s="16" t="n"/>
      <c r="H195" s="18">
        <f>SUM(L194:L194)</f>
        <v/>
      </c>
      <c r="I195" s="16" t="n"/>
      <c r="J195" s="16" t="n"/>
      <c r="K195" s="16" t="n"/>
      <c r="L195" s="16" t="n"/>
      <c r="M195" s="18">
        <f>SUM(P194:P194)</f>
        <v/>
      </c>
      <c r="N195" s="16" t="n"/>
      <c r="O195" s="16" t="n"/>
      <c r="P195" s="16" t="n"/>
    </row>
    <row r="196">
      <c r="B196" s="19" t="n"/>
      <c r="C196" s="20" t="inlineStr">
        <is>
          <t>TOTAL ACTIVIDAD</t>
        </is>
      </c>
      <c r="D196" s="21">
        <f>D195+H195+M195</f>
        <v/>
      </c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>
      <c r="B197" s="11" t="inlineStr">
        <is>
          <t>7.1.3</t>
        </is>
      </c>
      <c r="C197" s="12" t="inlineStr">
        <is>
          <t>Redactar el Capítulo II: Marco Metodológico</t>
        </is>
      </c>
      <c r="D197" s="13" t="inlineStr">
        <is>
          <t>Diego Rodríguez (Backend)</t>
        </is>
      </c>
      <c r="E197" s="14" t="n">
        <v>2.5</v>
      </c>
      <c r="F197" s="15" t="n">
        <v>16</v>
      </c>
      <c r="G197" s="15">
        <f>E197*F197</f>
        <v/>
      </c>
      <c r="H197" s="13" t="inlineStr">
        <is>
          <t>Alquiler Laptop desarrollo</t>
        </is>
      </c>
      <c r="I197" s="14" t="n">
        <v>1</v>
      </c>
      <c r="J197" s="15" t="n">
        <v>5</v>
      </c>
      <c r="K197" s="14" t="n">
        <v>2</v>
      </c>
      <c r="L197" s="15">
        <f>I197*J197*K197</f>
        <v/>
      </c>
      <c r="M197" s="13" t="inlineStr">
        <is>
          <t>Energía e internet</t>
        </is>
      </c>
      <c r="N197" s="14" t="n">
        <v>1</v>
      </c>
      <c r="O197" s="15" t="n">
        <v>10</v>
      </c>
      <c r="P197" s="15">
        <f>N197*O197</f>
        <v/>
      </c>
    </row>
    <row r="198">
      <c r="B198" s="16" t="n"/>
      <c r="C198" s="17" t="inlineStr">
        <is>
          <t>SUB TOTAL ACTIVIDAD</t>
        </is>
      </c>
      <c r="D198" s="18">
        <f>SUM(G197:G197)</f>
        <v/>
      </c>
      <c r="E198" s="16" t="n"/>
      <c r="F198" s="16" t="n"/>
      <c r="G198" s="16" t="n"/>
      <c r="H198" s="18">
        <f>SUM(L197:L197)</f>
        <v/>
      </c>
      <c r="I198" s="16" t="n"/>
      <c r="J198" s="16" t="n"/>
      <c r="K198" s="16" t="n"/>
      <c r="L198" s="16" t="n"/>
      <c r="M198" s="18">
        <f>SUM(P197:P197)</f>
        <v/>
      </c>
      <c r="N198" s="16" t="n"/>
      <c r="O198" s="16" t="n"/>
      <c r="P198" s="16" t="n"/>
    </row>
    <row r="199">
      <c r="B199" s="19" t="n"/>
      <c r="C199" s="20" t="inlineStr">
        <is>
          <t>TOTAL ACTIVIDAD</t>
        </is>
      </c>
      <c r="D199" s="21">
        <f>D198+H198+M198</f>
        <v/>
      </c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>
      <c r="B200" s="11" t="inlineStr">
        <is>
          <t>7.2.1</t>
        </is>
      </c>
      <c r="C200" s="12" t="inlineStr">
        <is>
          <t>Redactar el Capítulo V: Desarrollo de Solución</t>
        </is>
      </c>
      <c r="D200" s="13" t="inlineStr">
        <is>
          <t>Gerardo Plasencia (Líder)</t>
        </is>
      </c>
      <c r="E200" s="14" t="n">
        <v>2.5</v>
      </c>
      <c r="F200" s="15" t="n">
        <v>16</v>
      </c>
      <c r="G200" s="15">
        <f>E200*F200</f>
        <v/>
      </c>
      <c r="H200" s="13" t="inlineStr">
        <is>
          <t>Alquiler Laptop desarrollo</t>
        </is>
      </c>
      <c r="I200" s="14" t="n">
        <v>1</v>
      </c>
      <c r="J200" s="15" t="n">
        <v>5</v>
      </c>
      <c r="K200" s="14" t="n">
        <v>2</v>
      </c>
      <c r="L200" s="15">
        <f>I200*J200*K200</f>
        <v/>
      </c>
      <c r="M200" s="13" t="inlineStr">
        <is>
          <t>Energía e internet</t>
        </is>
      </c>
      <c r="N200" s="14" t="n">
        <v>1</v>
      </c>
      <c r="O200" s="15" t="n">
        <v>10</v>
      </c>
      <c r="P200" s="15">
        <f>N200*O200</f>
        <v/>
      </c>
    </row>
    <row r="201">
      <c r="B201" s="16" t="n"/>
      <c r="C201" s="17" t="inlineStr">
        <is>
          <t>SUB TOTAL ACTIVIDAD</t>
        </is>
      </c>
      <c r="D201" s="18">
        <f>SUM(G200:G200)</f>
        <v/>
      </c>
      <c r="E201" s="16" t="n"/>
      <c r="F201" s="16" t="n"/>
      <c r="G201" s="16" t="n"/>
      <c r="H201" s="18">
        <f>SUM(L200:L200)</f>
        <v/>
      </c>
      <c r="I201" s="16" t="n"/>
      <c r="J201" s="16" t="n"/>
      <c r="K201" s="16" t="n"/>
      <c r="L201" s="16" t="n"/>
      <c r="M201" s="18">
        <f>SUM(P200:P200)</f>
        <v/>
      </c>
      <c r="N201" s="16" t="n"/>
      <c r="O201" s="16" t="n"/>
      <c r="P201" s="16" t="n"/>
    </row>
    <row r="202">
      <c r="B202" s="19" t="n"/>
      <c r="C202" s="20" t="inlineStr">
        <is>
          <t>TOTAL ACTIVIDAD</t>
        </is>
      </c>
      <c r="D202" s="21">
        <f>D201+H201+M201</f>
        <v/>
      </c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</row>
    <row r="203">
      <c r="B203" s="11" t="inlineStr">
        <is>
          <t>7.2.2</t>
        </is>
      </c>
      <c r="C203" s="12" t="inlineStr">
        <is>
          <t>Redactar el Capítulo VII: Resultados y Discusión</t>
        </is>
      </c>
      <c r="D203" s="13" t="inlineStr">
        <is>
          <t>Diego Rodríguez (Backend)</t>
        </is>
      </c>
      <c r="E203" s="14" t="n">
        <v>2.5</v>
      </c>
      <c r="F203" s="15" t="n">
        <v>16</v>
      </c>
      <c r="G203" s="15">
        <f>E203*F203</f>
        <v/>
      </c>
      <c r="H203" s="13" t="inlineStr">
        <is>
          <t>Alquiler Laptop desarrollo</t>
        </is>
      </c>
      <c r="I203" s="14" t="n">
        <v>1</v>
      </c>
      <c r="J203" s="15" t="n">
        <v>5</v>
      </c>
      <c r="K203" s="14" t="n">
        <v>2</v>
      </c>
      <c r="L203" s="15">
        <f>I203*J203*K203</f>
        <v/>
      </c>
      <c r="M203" s="13" t="inlineStr">
        <is>
          <t>Energía e internet</t>
        </is>
      </c>
      <c r="N203" s="14" t="n">
        <v>1</v>
      </c>
      <c r="O203" s="15" t="n">
        <v>10</v>
      </c>
      <c r="P203" s="15">
        <f>N203*O203</f>
        <v/>
      </c>
    </row>
    <row r="204">
      <c r="B204" s="16" t="n"/>
      <c r="C204" s="17" t="inlineStr">
        <is>
          <t>SUB TOTAL ACTIVIDAD</t>
        </is>
      </c>
      <c r="D204" s="18">
        <f>SUM(G203:G203)</f>
        <v/>
      </c>
      <c r="E204" s="16" t="n"/>
      <c r="F204" s="16" t="n"/>
      <c r="G204" s="16" t="n"/>
      <c r="H204" s="18">
        <f>SUM(L203:L203)</f>
        <v/>
      </c>
      <c r="I204" s="16" t="n"/>
      <c r="J204" s="16" t="n"/>
      <c r="K204" s="16" t="n"/>
      <c r="L204" s="16" t="n"/>
      <c r="M204" s="18">
        <f>SUM(P203:P203)</f>
        <v/>
      </c>
      <c r="N204" s="16" t="n"/>
      <c r="O204" s="16" t="n"/>
      <c r="P204" s="16" t="n"/>
    </row>
    <row r="205">
      <c r="B205" s="19" t="n"/>
      <c r="C205" s="20" t="inlineStr">
        <is>
          <t>TOTAL ACTIVIDAD</t>
        </is>
      </c>
      <c r="D205" s="21">
        <f>D204+H204+M204</f>
        <v/>
      </c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>
      <c r="B206" s="11" t="inlineStr">
        <is>
          <t>7.2.3</t>
        </is>
      </c>
      <c r="C206" s="12" t="inlineStr">
        <is>
          <t>Consolidar el informe de campo de taller</t>
        </is>
      </c>
      <c r="D206" s="13" t="inlineStr">
        <is>
          <t>Estibb Anhuaman (Frontend)</t>
        </is>
      </c>
      <c r="E206" s="14" t="n">
        <v>2.5</v>
      </c>
      <c r="F206" s="15" t="n">
        <v>16</v>
      </c>
      <c r="G206" s="15">
        <f>E206*F206</f>
        <v/>
      </c>
      <c r="H206" s="13" t="inlineStr">
        <is>
          <t>Alquiler Laptop desarrollo</t>
        </is>
      </c>
      <c r="I206" s="14" t="n">
        <v>1</v>
      </c>
      <c r="J206" s="15" t="n">
        <v>5</v>
      </c>
      <c r="K206" s="14" t="n">
        <v>2</v>
      </c>
      <c r="L206" s="15">
        <f>I206*J206*K206</f>
        <v/>
      </c>
      <c r="M206" s="13" t="inlineStr">
        <is>
          <t>Energía e internet</t>
        </is>
      </c>
      <c r="N206" s="14" t="n">
        <v>1</v>
      </c>
      <c r="O206" s="15" t="n">
        <v>10</v>
      </c>
      <c r="P206" s="15">
        <f>N206*O206</f>
        <v/>
      </c>
    </row>
    <row r="207">
      <c r="B207" s="16" t="n"/>
      <c r="C207" s="17" t="inlineStr">
        <is>
          <t>SUB TOTAL ACTIVIDAD</t>
        </is>
      </c>
      <c r="D207" s="18">
        <f>SUM(G206:G206)</f>
        <v/>
      </c>
      <c r="E207" s="16" t="n"/>
      <c r="F207" s="16" t="n"/>
      <c r="G207" s="16" t="n"/>
      <c r="H207" s="18">
        <f>SUM(L206:L206)</f>
        <v/>
      </c>
      <c r="I207" s="16" t="n"/>
      <c r="J207" s="16" t="n"/>
      <c r="K207" s="16" t="n"/>
      <c r="L207" s="16" t="n"/>
      <c r="M207" s="18">
        <f>SUM(P206:P206)</f>
        <v/>
      </c>
      <c r="N207" s="16" t="n"/>
      <c r="O207" s="16" t="n"/>
      <c r="P207" s="16" t="n"/>
    </row>
    <row r="208">
      <c r="B208" s="19" t="n"/>
      <c r="C208" s="20" t="inlineStr">
        <is>
          <t>TOTAL ACTIVIDAD</t>
        </is>
      </c>
      <c r="D208" s="21">
        <f>D207+H207+M207</f>
        <v/>
      </c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>
      <c r="B209" s="11" t="inlineStr">
        <is>
          <t>7.3.1</t>
        </is>
      </c>
      <c r="C209" s="12" t="inlineStr">
        <is>
          <t>Ejecutar actividad de responsabilidad social RSU</t>
        </is>
      </c>
      <c r="D209" s="13" t="inlineStr">
        <is>
          <t>Gerardo Plasencia (Líder)</t>
        </is>
      </c>
      <c r="E209" s="14" t="n">
        <v>2.5</v>
      </c>
      <c r="F209" s="15" t="n">
        <v>16</v>
      </c>
      <c r="G209" s="15">
        <f>E209*F209</f>
        <v/>
      </c>
      <c r="H209" s="13" t="inlineStr">
        <is>
          <t>Alquiler Laptop desarrollo</t>
        </is>
      </c>
      <c r="I209" s="14" t="n">
        <v>1</v>
      </c>
      <c r="J209" s="15" t="n">
        <v>5</v>
      </c>
      <c r="K209" s="14" t="n">
        <v>2</v>
      </c>
      <c r="L209" s="15">
        <f>I209*J209*K209</f>
        <v/>
      </c>
      <c r="M209" s="13" t="inlineStr">
        <is>
          <t>Materiales didácticos y energía</t>
        </is>
      </c>
      <c r="N209" s="14" t="n">
        <v>1</v>
      </c>
      <c r="O209" s="15" t="n">
        <v>10</v>
      </c>
      <c r="P209" s="15">
        <f>N209*O209</f>
        <v/>
      </c>
    </row>
    <row r="210">
      <c r="B210" s="16" t="n"/>
      <c r="C210" s="17" t="inlineStr">
        <is>
          <t>SUB TOTAL ACTIVIDAD</t>
        </is>
      </c>
      <c r="D210" s="18">
        <f>SUM(G209:G209)</f>
        <v/>
      </c>
      <c r="E210" s="16" t="n"/>
      <c r="F210" s="16" t="n"/>
      <c r="G210" s="16" t="n"/>
      <c r="H210" s="18">
        <f>SUM(L209:L209)</f>
        <v/>
      </c>
      <c r="I210" s="16" t="n"/>
      <c r="J210" s="16" t="n"/>
      <c r="K210" s="16" t="n"/>
      <c r="L210" s="16" t="n"/>
      <c r="M210" s="18">
        <f>SUM(P209:P209)</f>
        <v/>
      </c>
      <c r="N210" s="16" t="n"/>
      <c r="O210" s="16" t="n"/>
      <c r="P210" s="16" t="n"/>
    </row>
    <row r="211">
      <c r="B211" s="19" t="n"/>
      <c r="C211" s="20" t="inlineStr">
        <is>
          <t>TOTAL ACTIVIDAD</t>
        </is>
      </c>
      <c r="D211" s="21">
        <f>D210+H210+M210</f>
        <v/>
      </c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</row>
    <row r="212">
      <c r="B212" s="11" t="inlineStr">
        <is>
          <t>7.4.1</t>
        </is>
      </c>
      <c r="C212" s="12" t="inlineStr">
        <is>
          <t>Medir la línea base pretest en la imprenta</t>
        </is>
      </c>
      <c r="D212" s="13" t="inlineStr">
        <is>
          <t>Diego Rodríguez (Data)</t>
        </is>
      </c>
      <c r="E212" s="14" t="n">
        <v>2.5</v>
      </c>
      <c r="F212" s="15" t="n">
        <v>16</v>
      </c>
      <c r="G212" s="15">
        <f>E212*F212</f>
        <v/>
      </c>
      <c r="H212" s="13" t="inlineStr">
        <is>
          <t>Alquiler Laptop desarrollo</t>
        </is>
      </c>
      <c r="I212" s="14" t="n">
        <v>1</v>
      </c>
      <c r="J212" s="15" t="n">
        <v>5</v>
      </c>
      <c r="K212" s="14" t="n">
        <v>2</v>
      </c>
      <c r="L212" s="15">
        <f>I212*J212*K212</f>
        <v/>
      </c>
      <c r="M212" s="13" t="inlineStr">
        <is>
          <t>Energía e instrumentos</t>
        </is>
      </c>
      <c r="N212" s="14" t="n">
        <v>1</v>
      </c>
      <c r="O212" s="15" t="n">
        <v>10</v>
      </c>
      <c r="P212" s="15">
        <f>N212*O212</f>
        <v/>
      </c>
    </row>
    <row r="213">
      <c r="B213" s="16" t="n"/>
      <c r="C213" s="17" t="inlineStr">
        <is>
          <t>SUB TOTAL ACTIVIDAD</t>
        </is>
      </c>
      <c r="D213" s="18">
        <f>SUM(G212:G212)</f>
        <v/>
      </c>
      <c r="E213" s="16" t="n"/>
      <c r="F213" s="16" t="n"/>
      <c r="G213" s="16" t="n"/>
      <c r="H213" s="18">
        <f>SUM(L212:L212)</f>
        <v/>
      </c>
      <c r="I213" s="16" t="n"/>
      <c r="J213" s="16" t="n"/>
      <c r="K213" s="16" t="n"/>
      <c r="L213" s="16" t="n"/>
      <c r="M213" s="18">
        <f>SUM(P212:P212)</f>
        <v/>
      </c>
      <c r="N213" s="16" t="n"/>
      <c r="O213" s="16" t="n"/>
      <c r="P213" s="16" t="n"/>
    </row>
    <row r="214">
      <c r="B214" s="19" t="n"/>
      <c r="C214" s="20" t="inlineStr">
        <is>
          <t>TOTAL ACTIVIDAD</t>
        </is>
      </c>
      <c r="D214" s="21">
        <f>D213+H213+M213</f>
        <v/>
      </c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</row>
    <row r="215">
      <c r="B215" s="11" t="inlineStr">
        <is>
          <t>7.5.1</t>
        </is>
      </c>
      <c r="C215" s="12" t="inlineStr">
        <is>
          <t>Recolectar muestra postest censal (n=125 órdenes)</t>
        </is>
      </c>
      <c r="D215" s="13" t="inlineStr">
        <is>
          <t>Gerardo Plasencia (Líder)</t>
        </is>
      </c>
      <c r="E215" s="14" t="n">
        <v>3</v>
      </c>
      <c r="F215" s="15" t="n">
        <v>16</v>
      </c>
      <c r="G215" s="15">
        <f>E215*F215</f>
        <v/>
      </c>
      <c r="H215" s="13" t="inlineStr">
        <is>
          <t>Alquiler Laptops desarrollo</t>
        </is>
      </c>
      <c r="I215" s="14" t="n">
        <v>2</v>
      </c>
      <c r="J215" s="15" t="n">
        <v>5</v>
      </c>
      <c r="K215" s="14" t="n">
        <v>1</v>
      </c>
      <c r="L215" s="15">
        <f>I215*J215*K215</f>
        <v/>
      </c>
      <c r="M215" s="13" t="inlineStr">
        <is>
          <t>Energía e impresiones de control</t>
        </is>
      </c>
      <c r="N215" s="14" t="n">
        <v>1</v>
      </c>
      <c r="O215" s="15" t="n">
        <v>10</v>
      </c>
      <c r="P215" s="15">
        <f>N215*O215</f>
        <v/>
      </c>
    </row>
    <row r="216">
      <c r="B216" s="16" t="n"/>
      <c r="C216" s="16" t="n"/>
      <c r="D216" s="13" t="inlineStr">
        <is>
          <t>Estibb Anhuaman (Frontend)</t>
        </is>
      </c>
      <c r="E216" s="14" t="n">
        <v>1</v>
      </c>
      <c r="F216" s="15" t="n">
        <v>12</v>
      </c>
      <c r="G216" s="15">
        <f>E216*F216</f>
        <v/>
      </c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</row>
    <row r="217">
      <c r="B217" s="16" t="n"/>
      <c r="C217" s="17" t="inlineStr">
        <is>
          <t>SUB TOTAL ACTIVIDAD</t>
        </is>
      </c>
      <c r="D217" s="18">
        <f>SUM(G215:G216)</f>
        <v/>
      </c>
      <c r="E217" s="16" t="n"/>
      <c r="F217" s="16" t="n"/>
      <c r="G217" s="16" t="n"/>
      <c r="H217" s="18">
        <f>SUM(L215:L216)</f>
        <v/>
      </c>
      <c r="I217" s="16" t="n"/>
      <c r="J217" s="16" t="n"/>
      <c r="K217" s="16" t="n"/>
      <c r="L217" s="16" t="n"/>
      <c r="M217" s="18">
        <f>SUM(P215:P216)</f>
        <v/>
      </c>
      <c r="N217" s="16" t="n"/>
      <c r="O217" s="16" t="n"/>
      <c r="P217" s="16" t="n"/>
    </row>
    <row r="218">
      <c r="B218" s="19" t="n"/>
      <c r="C218" s="20" t="inlineStr">
        <is>
          <t>TOTAL ACTIVIDAD</t>
        </is>
      </c>
      <c r="D218" s="21">
        <f>D217+H217+M217</f>
        <v/>
      </c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>
      <c r="B219" s="11" t="inlineStr">
        <is>
          <t>7.6.1</t>
        </is>
      </c>
      <c r="C219" s="12" t="inlineStr">
        <is>
          <t>Elaborar el informe de resultados estadísticos</t>
        </is>
      </c>
      <c r="D219" s="13" t="inlineStr">
        <is>
          <t>Diego Rodríguez (Backend)</t>
        </is>
      </c>
      <c r="E219" s="14" t="n">
        <v>2.5</v>
      </c>
      <c r="F219" s="15" t="n">
        <v>16</v>
      </c>
      <c r="G219" s="15">
        <f>E219*F219</f>
        <v/>
      </c>
      <c r="H219" s="13" t="inlineStr">
        <is>
          <t>Alquiler Laptop desarrollo</t>
        </is>
      </c>
      <c r="I219" s="14" t="n">
        <v>1</v>
      </c>
      <c r="J219" s="15" t="n">
        <v>5</v>
      </c>
      <c r="K219" s="14" t="n">
        <v>2</v>
      </c>
      <c r="L219" s="15">
        <f>I219*J219*K219</f>
        <v/>
      </c>
      <c r="M219" s="13" t="inlineStr">
        <is>
          <t>Energía e internet</t>
        </is>
      </c>
      <c r="N219" s="14" t="n">
        <v>1</v>
      </c>
      <c r="O219" s="15" t="n">
        <v>10</v>
      </c>
      <c r="P219" s="15">
        <f>N219*O219</f>
        <v/>
      </c>
    </row>
    <row r="220">
      <c r="B220" s="16" t="n"/>
      <c r="C220" s="17" t="inlineStr">
        <is>
          <t>SUB TOTAL ACTIVIDAD</t>
        </is>
      </c>
      <c r="D220" s="18">
        <f>SUM(G219:G219)</f>
        <v/>
      </c>
      <c r="E220" s="16" t="n"/>
      <c r="F220" s="16" t="n"/>
      <c r="G220" s="16" t="n"/>
      <c r="H220" s="18">
        <f>SUM(L219:L219)</f>
        <v/>
      </c>
      <c r="I220" s="16" t="n"/>
      <c r="J220" s="16" t="n"/>
      <c r="K220" s="16" t="n"/>
      <c r="L220" s="16" t="n"/>
      <c r="M220" s="18">
        <f>SUM(P219:P219)</f>
        <v/>
      </c>
      <c r="N220" s="16" t="n"/>
      <c r="O220" s="16" t="n"/>
      <c r="P220" s="16" t="n"/>
    </row>
    <row r="221">
      <c r="B221" s="19" t="n"/>
      <c r="C221" s="20" t="inlineStr">
        <is>
          <t>TOTAL ACTIVIDAD</t>
        </is>
      </c>
      <c r="D221" s="21">
        <f>D220+H220+M220</f>
        <v/>
      </c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>
      <c r="B222" s="22" t="inlineStr">
        <is>
          <t>SUB TOTAL PAQUETE</t>
        </is>
      </c>
      <c r="C222" s="16" t="n"/>
      <c r="D222" s="23">
        <f>SUM(D192,D195,D198,D201,D204,D207,D210,D213,D217,D220)</f>
        <v/>
      </c>
      <c r="E222" s="16" t="n"/>
      <c r="F222" s="16" t="n"/>
      <c r="G222" s="16" t="n"/>
      <c r="H222" s="23">
        <f>SUM(H192,H195,H198,H201,H204,H207,H210,H213,H217,H220)</f>
        <v/>
      </c>
      <c r="I222" s="16" t="n"/>
      <c r="J222" s="16" t="n"/>
      <c r="K222" s="16" t="n"/>
      <c r="L222" s="16" t="n"/>
      <c r="M222" s="23">
        <f>SUM(M192,M195,M198,M201,M204,M207,M210,M213,M217,M220)</f>
        <v/>
      </c>
      <c r="N222" s="16" t="n"/>
      <c r="O222" s="16" t="n"/>
      <c r="P222" s="16" t="n"/>
    </row>
    <row r="223">
      <c r="B223" s="24" t="inlineStr">
        <is>
          <t>TOTAL PAQUETE</t>
        </is>
      </c>
      <c r="C223" s="19" t="n"/>
      <c r="D223" s="25">
        <f>D222+H222+M222</f>
        <v/>
      </c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</row>
    <row r="225">
      <c r="B225" s="1" t="inlineStr">
        <is>
          <t>PAQUETE DE TRABAJO / ENTREGABLE</t>
        </is>
      </c>
      <c r="D225" s="2" t="inlineStr">
        <is>
          <t>EDT 8.0 — CIERRE METODOLÓGICO Y PRODUCCIÓN CIENTÍFICA</t>
        </is>
      </c>
    </row>
    <row r="226">
      <c r="B226" s="3" t="inlineStr">
        <is>
          <t>ACTIVIDAD</t>
        </is>
      </c>
      <c r="D226" s="3" t="inlineStr">
        <is>
          <t>COSTOS</t>
        </is>
      </c>
    </row>
    <row r="227">
      <c r="B227" s="4" t="inlineStr">
        <is>
          <t>CODIGO</t>
        </is>
      </c>
      <c r="C227" s="4" t="inlineStr">
        <is>
          <t>DESCRIPCION</t>
        </is>
      </c>
      <c r="D227" s="5" t="inlineStr">
        <is>
          <t>RECURSOS HUMANOS</t>
        </is>
      </c>
      <c r="E227" s="6" t="n"/>
      <c r="F227" s="6" t="n"/>
      <c r="G227" s="6" t="n"/>
      <c r="H227" s="7" t="inlineStr">
        <is>
          <t>MAQUINARIA/EQUIPOS/INFRAESTRUCTURA</t>
        </is>
      </c>
      <c r="I227" s="8" t="n"/>
      <c r="J227" s="8" t="n"/>
      <c r="K227" s="8" t="n"/>
      <c r="L227" s="8" t="n"/>
      <c r="M227" s="9" t="inlineStr">
        <is>
          <t>CONSUMIBLES/SERVICIOS</t>
        </is>
      </c>
      <c r="N227" s="10" t="n"/>
      <c r="O227" s="10" t="n"/>
      <c r="P227" s="10" t="n"/>
    </row>
    <row r="228">
      <c r="D228" s="5" t="inlineStr">
        <is>
          <t>Nombre del Recurso</t>
        </is>
      </c>
      <c r="E228" s="5" t="inlineStr">
        <is>
          <t>Numero de Horas</t>
        </is>
      </c>
      <c r="F228" s="5" t="inlineStr">
        <is>
          <t>Costo x Hora</t>
        </is>
      </c>
      <c r="G228" s="5" t="inlineStr">
        <is>
          <t>Costo Total</t>
        </is>
      </c>
      <c r="H228" s="7" t="inlineStr">
        <is>
          <t>Nombre del Recurso</t>
        </is>
      </c>
      <c r="I228" s="7" t="inlineStr">
        <is>
          <t>Cantidad</t>
        </is>
      </c>
      <c r="J228" s="7" t="inlineStr">
        <is>
          <t>Costo x día</t>
        </is>
      </c>
      <c r="K228" s="7" t="inlineStr">
        <is>
          <t>Nro. De días</t>
        </is>
      </c>
      <c r="L228" s="7" t="inlineStr">
        <is>
          <t>Total</t>
        </is>
      </c>
      <c r="M228" s="9" t="inlineStr">
        <is>
          <t>Nombre del Recurso</t>
        </is>
      </c>
      <c r="N228" s="9" t="inlineStr">
        <is>
          <t>Cantidad</t>
        </is>
      </c>
      <c r="O228" s="9" t="inlineStr">
        <is>
          <t>Costo Unitario</t>
        </is>
      </c>
      <c r="P228" s="9" t="inlineStr">
        <is>
          <t>IMPORTE</t>
        </is>
      </c>
    </row>
    <row r="229">
      <c r="B229" s="11" t="inlineStr">
        <is>
          <t>8.1.1</t>
        </is>
      </c>
      <c r="C229" s="12" t="inlineStr">
        <is>
          <t>Contrastar las hipótesis estadísticas (t-Student/Wilcoxon)</t>
        </is>
      </c>
      <c r="D229" s="13" t="inlineStr">
        <is>
          <t>Diego Rodríguez (Data/IA)</t>
        </is>
      </c>
      <c r="E229" s="14" t="n">
        <v>3</v>
      </c>
      <c r="F229" s="15" t="n">
        <v>16</v>
      </c>
      <c r="G229" s="15">
        <f>E229*F229</f>
        <v/>
      </c>
      <c r="H229" s="13" t="inlineStr">
        <is>
          <t>Alquiler Laptop desarrollo</t>
        </is>
      </c>
      <c r="I229" s="14" t="n">
        <v>1</v>
      </c>
      <c r="J229" s="15" t="n">
        <v>5</v>
      </c>
      <c r="K229" s="14" t="n">
        <v>2</v>
      </c>
      <c r="L229" s="15">
        <f>I229*J229*K229</f>
        <v/>
      </c>
      <c r="M229" s="13" t="inlineStr">
        <is>
          <t>Software estadístico y energía</t>
        </is>
      </c>
      <c r="N229" s="14" t="n">
        <v>1</v>
      </c>
      <c r="O229" s="15" t="n">
        <v>12</v>
      </c>
      <c r="P229" s="15">
        <f>N229*O229</f>
        <v/>
      </c>
    </row>
    <row r="230">
      <c r="B230" s="16" t="n"/>
      <c r="C230" s="17" t="inlineStr">
        <is>
          <t>SUB TOTAL ACTIVIDAD</t>
        </is>
      </c>
      <c r="D230" s="18">
        <f>SUM(G229:G229)</f>
        <v/>
      </c>
      <c r="E230" s="16" t="n"/>
      <c r="F230" s="16" t="n"/>
      <c r="G230" s="16" t="n"/>
      <c r="H230" s="18">
        <f>SUM(L229:L229)</f>
        <v/>
      </c>
      <c r="I230" s="16" t="n"/>
      <c r="J230" s="16" t="n"/>
      <c r="K230" s="16" t="n"/>
      <c r="L230" s="16" t="n"/>
      <c r="M230" s="18">
        <f>SUM(P229:P229)</f>
        <v/>
      </c>
      <c r="N230" s="16" t="n"/>
      <c r="O230" s="16" t="n"/>
      <c r="P230" s="16" t="n"/>
    </row>
    <row r="231">
      <c r="B231" s="19" t="n"/>
      <c r="C231" s="20" t="inlineStr">
        <is>
          <t>TOTAL ACTIVIDAD</t>
        </is>
      </c>
      <c r="D231" s="21">
        <f>D230+H230+M230</f>
        <v/>
      </c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>
      <c r="B232" s="11" t="inlineStr">
        <is>
          <t>8.2.1</t>
        </is>
      </c>
      <c r="C232" s="12" t="inlineStr">
        <is>
          <t>Redactar el artículo científico Paper IEEE</t>
        </is>
      </c>
      <c r="D232" s="13" t="inlineStr">
        <is>
          <t>Gerardo Plasencia (Líder)</t>
        </is>
      </c>
      <c r="E232" s="14" t="n">
        <v>2.5</v>
      </c>
      <c r="F232" s="15" t="n">
        <v>16</v>
      </c>
      <c r="G232" s="15">
        <f>E232*F232</f>
        <v/>
      </c>
      <c r="H232" s="13" t="inlineStr">
        <is>
          <t>Alquiler Laptop desarrollo</t>
        </is>
      </c>
      <c r="I232" s="14" t="n">
        <v>1</v>
      </c>
      <c r="J232" s="15" t="n">
        <v>5</v>
      </c>
      <c r="K232" s="14" t="n">
        <v>2</v>
      </c>
      <c r="L232" s="15">
        <f>I232*J232*K232</f>
        <v/>
      </c>
      <c r="M232" s="13" t="inlineStr">
        <is>
          <t>Energía eléctrica y conectividad</t>
        </is>
      </c>
      <c r="N232" s="14" t="n">
        <v>1</v>
      </c>
      <c r="O232" s="15" t="n">
        <v>10</v>
      </c>
      <c r="P232" s="15">
        <f>N232*O232</f>
        <v/>
      </c>
    </row>
    <row r="233">
      <c r="B233" s="16" t="n"/>
      <c r="C233" s="17" t="inlineStr">
        <is>
          <t>SUB TOTAL ACTIVIDAD</t>
        </is>
      </c>
      <c r="D233" s="18">
        <f>SUM(G232:G232)</f>
        <v/>
      </c>
      <c r="E233" s="16" t="n"/>
      <c r="F233" s="16" t="n"/>
      <c r="G233" s="16" t="n"/>
      <c r="H233" s="18">
        <f>SUM(L232:L232)</f>
        <v/>
      </c>
      <c r="I233" s="16" t="n"/>
      <c r="J233" s="16" t="n"/>
      <c r="K233" s="16" t="n"/>
      <c r="L233" s="16" t="n"/>
      <c r="M233" s="18">
        <f>SUM(P232:P232)</f>
        <v/>
      </c>
      <c r="N233" s="16" t="n"/>
      <c r="O233" s="16" t="n"/>
      <c r="P233" s="16" t="n"/>
    </row>
    <row r="234">
      <c r="B234" s="19" t="n"/>
      <c r="C234" s="20" t="inlineStr">
        <is>
          <t>TOTAL ACTIVIDAD</t>
        </is>
      </c>
      <c r="D234" s="21">
        <f>D233+H233+M233</f>
        <v/>
      </c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</row>
    <row r="235">
      <c r="B235" s="11" t="inlineStr">
        <is>
          <t>8.3.1</t>
        </is>
      </c>
      <c r="C235" s="12" t="inlineStr">
        <is>
          <t>Consolidar la memoria técnica del software</t>
        </is>
      </c>
      <c r="D235" s="13" t="inlineStr">
        <is>
          <t>Estibb Anhuaman (Frontend)</t>
        </is>
      </c>
      <c r="E235" s="14" t="n">
        <v>2.5</v>
      </c>
      <c r="F235" s="15" t="n">
        <v>16</v>
      </c>
      <c r="G235" s="15">
        <f>E235*F235</f>
        <v/>
      </c>
      <c r="H235" s="13" t="inlineStr">
        <is>
          <t>Alquiler Laptop desarrollo</t>
        </is>
      </c>
      <c r="I235" s="14" t="n">
        <v>1</v>
      </c>
      <c r="J235" s="15" t="n">
        <v>5</v>
      </c>
      <c r="K235" s="14" t="n">
        <v>2</v>
      </c>
      <c r="L235" s="15">
        <f>I235*J235*K235</f>
        <v/>
      </c>
      <c r="M235" s="13" t="inlineStr">
        <is>
          <t>Energía eléctrica e impresiones</t>
        </is>
      </c>
      <c r="N235" s="14" t="n">
        <v>1</v>
      </c>
      <c r="O235" s="15" t="n">
        <v>10</v>
      </c>
      <c r="P235" s="15">
        <f>N235*O235</f>
        <v/>
      </c>
    </row>
    <row r="236">
      <c r="B236" s="16" t="n"/>
      <c r="C236" s="17" t="inlineStr">
        <is>
          <t>SUB TOTAL ACTIVIDAD</t>
        </is>
      </c>
      <c r="D236" s="18">
        <f>SUM(G235:G235)</f>
        <v/>
      </c>
      <c r="E236" s="16" t="n"/>
      <c r="F236" s="16" t="n"/>
      <c r="G236" s="16" t="n"/>
      <c r="H236" s="18">
        <f>SUM(L235:L235)</f>
        <v/>
      </c>
      <c r="I236" s="16" t="n"/>
      <c r="J236" s="16" t="n"/>
      <c r="K236" s="16" t="n"/>
      <c r="L236" s="16" t="n"/>
      <c r="M236" s="18">
        <f>SUM(P235:P235)</f>
        <v/>
      </c>
      <c r="N236" s="16" t="n"/>
      <c r="O236" s="16" t="n"/>
      <c r="P236" s="16" t="n"/>
    </row>
    <row r="237">
      <c r="B237" s="19" t="n"/>
      <c r="C237" s="20" t="inlineStr">
        <is>
          <t>TOTAL ACTIVIDAD</t>
        </is>
      </c>
      <c r="D237" s="21">
        <f>D236+H236+M236</f>
        <v/>
      </c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>
      <c r="B238" s="11" t="inlineStr">
        <is>
          <t>8.4.1</t>
        </is>
      </c>
      <c r="C238" s="12" t="inlineStr">
        <is>
          <t>Consolidar el portafolio final de entregables</t>
        </is>
      </c>
      <c r="D238" s="13" t="inlineStr">
        <is>
          <t>Diego Rodríguez (Backend)</t>
        </is>
      </c>
      <c r="E238" s="14" t="n">
        <v>2.5</v>
      </c>
      <c r="F238" s="15" t="n">
        <v>16</v>
      </c>
      <c r="G238" s="15">
        <f>E238*F238</f>
        <v/>
      </c>
      <c r="H238" s="13" t="inlineStr">
        <is>
          <t>Alquiler Laptop desarrollo</t>
        </is>
      </c>
      <c r="I238" s="14" t="n">
        <v>1</v>
      </c>
      <c r="J238" s="15" t="n">
        <v>5</v>
      </c>
      <c r="K238" s="14" t="n">
        <v>2</v>
      </c>
      <c r="L238" s="15">
        <f>I238*J238*K238</f>
        <v/>
      </c>
      <c r="M238" s="13" t="inlineStr">
        <is>
          <t>Energía eléctrica y encuadernación</t>
        </is>
      </c>
      <c r="N238" s="14" t="n">
        <v>1</v>
      </c>
      <c r="O238" s="15" t="n">
        <v>10</v>
      </c>
      <c r="P238" s="15">
        <f>N238*O238</f>
        <v/>
      </c>
    </row>
    <row r="239">
      <c r="B239" s="16" t="n"/>
      <c r="C239" s="17" t="inlineStr">
        <is>
          <t>SUB TOTAL ACTIVIDAD</t>
        </is>
      </c>
      <c r="D239" s="18">
        <f>SUM(G238:G238)</f>
        <v/>
      </c>
      <c r="E239" s="16" t="n"/>
      <c r="F239" s="16" t="n"/>
      <c r="G239" s="16" t="n"/>
      <c r="H239" s="18">
        <f>SUM(L238:L238)</f>
        <v/>
      </c>
      <c r="I239" s="16" t="n"/>
      <c r="J239" s="16" t="n"/>
      <c r="K239" s="16" t="n"/>
      <c r="L239" s="16" t="n"/>
      <c r="M239" s="18">
        <f>SUM(P238:P238)</f>
        <v/>
      </c>
      <c r="N239" s="16" t="n"/>
      <c r="O239" s="16" t="n"/>
      <c r="P239" s="16" t="n"/>
    </row>
    <row r="240">
      <c r="B240" s="19" t="n"/>
      <c r="C240" s="20" t="inlineStr">
        <is>
          <t>TOTAL ACTIVIDAD</t>
        </is>
      </c>
      <c r="D240" s="21">
        <f>D239+H239+M239</f>
        <v/>
      </c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>
      <c r="B241" s="11" t="inlineStr">
        <is>
          <t>8.5.1</t>
        </is>
      </c>
      <c r="C241" s="12" t="inlineStr">
        <is>
          <t>Sustentar el cierre del proyecto ante jurado</t>
        </is>
      </c>
      <c r="D241" s="13" t="inlineStr">
        <is>
          <t>Gerardo Plasencia (Líder)</t>
        </is>
      </c>
      <c r="E241" s="14" t="n">
        <v>2.5</v>
      </c>
      <c r="F241" s="15" t="n">
        <v>16</v>
      </c>
      <c r="G241" s="15">
        <f>E241*F241</f>
        <v/>
      </c>
      <c r="H241" s="13" t="inlineStr">
        <is>
          <t>Alquiler Laptop y proyector</t>
        </is>
      </c>
      <c r="I241" s="14" t="n">
        <v>1</v>
      </c>
      <c r="J241" s="15" t="n">
        <v>5</v>
      </c>
      <c r="K241" s="14" t="n">
        <v>2</v>
      </c>
      <c r="L241" s="15">
        <f>I241*J241*K241</f>
        <v/>
      </c>
      <c r="M241" s="13" t="inlineStr">
        <is>
          <t>Energía y material de sustentación</t>
        </is>
      </c>
      <c r="N241" s="14" t="n">
        <v>1</v>
      </c>
      <c r="O241" s="15" t="n">
        <v>10</v>
      </c>
      <c r="P241" s="15">
        <f>N241*O241</f>
        <v/>
      </c>
    </row>
    <row r="242">
      <c r="B242" s="16" t="n"/>
      <c r="C242" s="17" t="inlineStr">
        <is>
          <t>SUB TOTAL ACTIVIDAD</t>
        </is>
      </c>
      <c r="D242" s="18">
        <f>SUM(G241:G241)</f>
        <v/>
      </c>
      <c r="E242" s="16" t="n"/>
      <c r="F242" s="16" t="n"/>
      <c r="G242" s="16" t="n"/>
      <c r="H242" s="18">
        <f>SUM(L241:L241)</f>
        <v/>
      </c>
      <c r="I242" s="16" t="n"/>
      <c r="J242" s="16" t="n"/>
      <c r="K242" s="16" t="n"/>
      <c r="L242" s="16" t="n"/>
      <c r="M242" s="18">
        <f>SUM(P241:P241)</f>
        <v/>
      </c>
      <c r="N242" s="16" t="n"/>
      <c r="O242" s="16" t="n"/>
      <c r="P242" s="16" t="n"/>
    </row>
    <row r="243">
      <c r="B243" s="19" t="n"/>
      <c r="C243" s="20" t="inlineStr">
        <is>
          <t>TOTAL ACTIVIDAD</t>
        </is>
      </c>
      <c r="D243" s="21">
        <f>D242+H242+M242</f>
        <v/>
      </c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>
      <c r="B244" s="22" t="inlineStr">
        <is>
          <t>SUB TOTAL PAQUETE</t>
        </is>
      </c>
      <c r="C244" s="16" t="n"/>
      <c r="D244" s="23">
        <f>SUM(D230,D233,D236,D239,D242)</f>
        <v/>
      </c>
      <c r="E244" s="16" t="n"/>
      <c r="F244" s="16" t="n"/>
      <c r="G244" s="16" t="n"/>
      <c r="H244" s="23">
        <f>SUM(H230,H233,H236,H239,H242)</f>
        <v/>
      </c>
      <c r="I244" s="16" t="n"/>
      <c r="J244" s="16" t="n"/>
      <c r="K244" s="16" t="n"/>
      <c r="L244" s="16" t="n"/>
      <c r="M244" s="23">
        <f>SUM(M230,M233,M236,M239,M242)</f>
        <v/>
      </c>
      <c r="N244" s="16" t="n"/>
      <c r="O244" s="16" t="n"/>
      <c r="P244" s="16" t="n"/>
    </row>
    <row r="245">
      <c r="B245" s="24" t="inlineStr">
        <is>
          <t>TOTAL PAQUETE</t>
        </is>
      </c>
      <c r="C245" s="19" t="n"/>
      <c r="D245" s="25">
        <f>D244+H244+M244</f>
        <v/>
      </c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7">
      <c r="B247" s="26" t="inlineStr">
        <is>
          <t>PRESUPUESTO TOTAL VALORIZADO DEL PROYECTO (100% EDT)</t>
        </is>
      </c>
      <c r="C247" s="27" t="n"/>
      <c r="D247" s="28">
        <f>SUM(D55,D72,D94,D127,D161,D185,D223,D245)</f>
        <v/>
      </c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5" customWidth="1" min="3" max="3"/>
    <col width="24" customWidth="1" min="4" max="4"/>
    <col width="24" customWidth="1" min="5" max="5"/>
    <col width="25" customWidth="1" min="6" max="6"/>
    <col width="20" customWidth="1" min="7" max="7"/>
  </cols>
  <sheetData>
    <row r="2">
      <c r="B2" s="29" t="inlineStr">
        <is>
          <t>RESUMEN CONSOLIDADO DE PRESUPUESTO POR PAQUETE DE TRABAJO (EDT)</t>
        </is>
      </c>
    </row>
    <row r="3">
      <c r="B3" s="30" t="inlineStr">
        <is>
          <t>Proyecto: Sistema Web Transaccional e Inteligencia de Negocios — Impresos Trujillo E.I.R.L.</t>
        </is>
      </c>
    </row>
    <row r="5">
      <c r="B5" s="31" t="inlineStr">
        <is>
          <t>Código EDT</t>
        </is>
      </c>
      <c r="C5" s="31" t="inlineStr">
        <is>
          <t>Paquete de Trabajo / Entregable Clave</t>
        </is>
      </c>
      <c r="D5" s="31" t="inlineStr">
        <is>
          <t>Recursos Humanos (RRHH)</t>
        </is>
      </c>
      <c r="E5" s="31" t="inlineStr">
        <is>
          <t>Equipos / Laptops / VPS</t>
        </is>
      </c>
      <c r="F5" s="31" t="inlineStr">
        <is>
          <t>Consumibles / Conectividad</t>
        </is>
      </c>
      <c r="G5" s="31" t="inlineStr">
        <is>
          <t>Presupuesto Total</t>
        </is>
      </c>
    </row>
    <row r="6">
      <c r="B6" s="11" t="inlineStr">
        <is>
          <t>EDT 1.0</t>
        </is>
      </c>
      <c r="C6" s="12" t="inlineStr">
        <is>
          <t>Gestión del Proyecto (Acta, Business Case, EDT, Cronograma, Presupuesto, Matrices)</t>
        </is>
      </c>
      <c r="D6" s="15" t="n">
        <v>664</v>
      </c>
      <c r="E6" s="15" t="n">
        <v>195</v>
      </c>
      <c r="F6" s="15" t="n">
        <v>181</v>
      </c>
      <c r="G6" s="32">
        <f>SUM(D6:F6)</f>
        <v/>
      </c>
    </row>
    <row r="7">
      <c r="B7" s="11" t="inlineStr">
        <is>
          <t>EDT 2.0</t>
        </is>
      </c>
      <c r="C7" s="12" t="inlineStr">
        <is>
          <t>Análisis y Requerimientos (SRS IEEE 830, Estructura de Análisis, Matriz Consistencia)</t>
        </is>
      </c>
      <c r="D7" s="15" t="n">
        <v>264</v>
      </c>
      <c r="E7" s="15" t="n">
        <v>70</v>
      </c>
      <c r="F7" s="15" t="n">
        <v>56</v>
      </c>
      <c r="G7" s="32">
        <f>SUM(D7:F7)</f>
        <v/>
      </c>
    </row>
    <row r="8">
      <c r="B8" s="11" t="inlineStr">
        <is>
          <t>EDT 3.0</t>
        </is>
      </c>
      <c r="C8" s="12" t="inlineStr">
        <is>
          <t>Diseño de la Solución (Arquitectura VPS, Historias de Usuario, BD PostgreSQL, UI Angular)</t>
        </is>
      </c>
      <c r="D8" s="15" t="n">
        <v>392</v>
      </c>
      <c r="E8" s="15" t="n">
        <v>120</v>
      </c>
      <c r="F8" s="15" t="n">
        <v>98</v>
      </c>
      <c r="G8" s="32">
        <f>SUM(D8:F8)</f>
        <v/>
      </c>
    </row>
    <row r="9">
      <c r="B9" s="11" t="inlineStr">
        <is>
          <t>EDT 4.0</t>
        </is>
      </c>
      <c r="C9" s="12" t="inlineStr">
        <is>
          <t>Construcción del Producto (Catálogo, Bobinas UV DTF, Ventas Rápidas, Arqueo Caja, CI/CD)</t>
        </is>
      </c>
      <c r="D9" s="15" t="n">
        <v>548</v>
      </c>
      <c r="E9" s="15" t="n">
        <v>180</v>
      </c>
      <c r="F9" s="15" t="n">
        <v>132</v>
      </c>
      <c r="G9" s="32">
        <f>SUM(D9:F9)</f>
        <v/>
      </c>
    </row>
    <row r="10">
      <c r="B10" s="11" t="inlineStr">
        <is>
          <t>EDT 5.0</t>
        </is>
      </c>
      <c r="C10" s="12" t="inlineStr">
        <is>
          <t>Aseguramiento de Calidad (Pruebas Unitarias, Integración, SQA, ISO 25010, UAT)</t>
        </is>
      </c>
      <c r="D10" s="15" t="n">
        <v>360</v>
      </c>
      <c r="E10" s="15" t="n">
        <v>120</v>
      </c>
      <c r="F10" s="15" t="n">
        <v>90</v>
      </c>
      <c r="G10" s="32">
        <f>SUM(D10:F10)</f>
        <v/>
      </c>
    </row>
    <row r="11">
      <c r="B11" s="11" t="inlineStr">
        <is>
          <t>EDT 6.0</t>
        </is>
      </c>
      <c r="C11" s="12" t="inlineStr">
        <is>
          <t>Despliegue y Cierre Operativo (Despliegue VPS, Entrega en Planta, Manuales, Capacitación)</t>
        </is>
      </c>
      <c r="D11" s="15" t="n">
        <v>460</v>
      </c>
      <c r="E11" s="15" t="n">
        <v>145</v>
      </c>
      <c r="F11" s="15" t="n">
        <v>95</v>
      </c>
      <c r="G11" s="32">
        <f>SUM(D11:F11)</f>
        <v/>
      </c>
    </row>
    <row r="12">
      <c r="B12" s="11" t="inlineStr">
        <is>
          <t>EDT 7.0</t>
        </is>
      </c>
      <c r="C12" s="12" t="inlineStr">
        <is>
          <t>Prácticas de Campo y RSU (Línea Base Pretest, Muestra Censal Postest n=125, Informe)</t>
        </is>
      </c>
      <c r="D12" s="15" t="n">
        <v>408</v>
      </c>
      <c r="E12" s="15" t="n">
        <v>105</v>
      </c>
      <c r="F12" s="15" t="n">
        <v>107</v>
      </c>
      <c r="G12" s="32">
        <f>SUM(D12:F12)</f>
        <v/>
      </c>
    </row>
    <row r="13">
      <c r="B13" s="11" t="inlineStr">
        <is>
          <t>EDT 8.0</t>
        </is>
      </c>
      <c r="C13" s="12" t="inlineStr">
        <is>
          <t>Cierre Científico (Inferencia t-Student/Wilcoxon, Paper IEEE, Memoria Técnica, Sustentación)</t>
        </is>
      </c>
      <c r="D13" s="15" t="n">
        <v>208</v>
      </c>
      <c r="E13" s="15" t="n">
        <v>45</v>
      </c>
      <c r="F13" s="15" t="n">
        <v>57</v>
      </c>
      <c r="G13" s="32">
        <f>SUM(D13:F13)</f>
        <v/>
      </c>
    </row>
    <row r="14">
      <c r="B14" s="33" t="inlineStr">
        <is>
          <t>TOTAL</t>
        </is>
      </c>
      <c r="C14" s="34" t="inlineStr">
        <is>
          <t>PRESUPUESTO GENERAL DEL PROYECTO (16 SEMANAS)</t>
        </is>
      </c>
      <c r="D14" s="35">
        <f>SUM(D6:D13)</f>
        <v/>
      </c>
      <c r="E14" s="35">
        <f>SUM(E6:E13)</f>
        <v/>
      </c>
      <c r="F14" s="35">
        <f>SUM(F6:F13)</f>
        <v/>
      </c>
      <c r="G14" s="35">
        <f>SUM(G6:G13)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2026-09-26T04:10:54Z</dcterms:created>
  <dcterms:modified xmlns:dcterms="http://purl.org/dc/terms/" xmlns:xsi="http://www.w3.org/2001/XMLSchema-instance" xsi:type="dcterms:W3CDTF">2026-09-26T04:10:55Z</dcterms:modified>
</cp:coreProperties>
</file>